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8_{0F69A15F-9C34-1848-AA86-BA700DC3B25D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maksa" sheetId="1" r:id="rId1"/>
    <sheet name="trijst" sheetId="2" r:id="rId2"/>
    <sheet name="malas" sheetId="3" r:id="rId3"/>
    <sheet name="vārdi" sheetId="4" r:id="rId4"/>
    <sheet name="skatļi" sheetId="5" r:id="rId5"/>
    <sheet name="zaļais" sheetId="6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6" l="1"/>
  <c r="F14" i="6"/>
  <c r="F11" i="6"/>
  <c r="F13" i="6"/>
  <c r="F15" i="6"/>
  <c r="F16" i="6"/>
  <c r="F8" i="6"/>
  <c r="F7" i="6"/>
  <c r="B13" i="5"/>
  <c r="B12" i="5"/>
  <c r="B11" i="5"/>
  <c r="B10" i="5"/>
  <c r="B9" i="5"/>
  <c r="B8" i="5"/>
  <c r="B7" i="5"/>
  <c r="B6" i="5"/>
  <c r="B5" i="5"/>
  <c r="B4" i="5"/>
  <c r="C15" i="4"/>
  <c r="B15" i="4"/>
  <c r="D15" i="4"/>
  <c r="E15" i="4"/>
  <c r="C14" i="4"/>
  <c r="B14" i="4"/>
  <c r="D14" i="4"/>
  <c r="E14" i="4"/>
  <c r="C13" i="4"/>
  <c r="B13" i="4"/>
  <c r="D13" i="4"/>
  <c r="E13" i="4"/>
  <c r="C12" i="4"/>
  <c r="B12" i="4"/>
  <c r="D12" i="4"/>
  <c r="E12" i="4"/>
  <c r="C11" i="4"/>
  <c r="B11" i="4"/>
  <c r="D11" i="4"/>
  <c r="E11" i="4"/>
  <c r="C10" i="4"/>
  <c r="B10" i="4"/>
  <c r="D10" i="4"/>
  <c r="E10" i="4"/>
  <c r="C9" i="4"/>
  <c r="B9" i="4"/>
  <c r="D9" i="4"/>
  <c r="E9" i="4"/>
  <c r="C8" i="4"/>
  <c r="E8" i="4"/>
  <c r="B8" i="4"/>
  <c r="D8" i="4"/>
  <c r="C7" i="4"/>
  <c r="B7" i="4"/>
  <c r="D7" i="4"/>
  <c r="E7" i="4"/>
  <c r="C6" i="4"/>
  <c r="B6" i="4"/>
  <c r="D6" i="4"/>
  <c r="E6" i="4"/>
  <c r="C5" i="4"/>
  <c r="E5" i="4"/>
  <c r="B5" i="4"/>
  <c r="D5" i="4"/>
  <c r="C4" i="4"/>
  <c r="E4" i="4"/>
  <c r="B4" i="4"/>
  <c r="D4" i="4"/>
  <c r="F8" i="3"/>
  <c r="E8" i="3"/>
  <c r="D8" i="3"/>
  <c r="F7" i="3"/>
  <c r="E7" i="3"/>
  <c r="D7" i="3"/>
  <c r="F6" i="3"/>
  <c r="E6" i="3"/>
  <c r="D6" i="3"/>
  <c r="F5" i="3"/>
  <c r="E5" i="3"/>
  <c r="D5" i="3"/>
  <c r="K18" i="2"/>
  <c r="J18" i="2"/>
  <c r="I18" i="2"/>
  <c r="H18" i="2"/>
  <c r="G18" i="2"/>
  <c r="F18" i="2"/>
  <c r="E18" i="2"/>
  <c r="D18" i="2"/>
  <c r="C18" i="2"/>
  <c r="B18" i="2"/>
  <c r="K17" i="2"/>
  <c r="J17" i="2"/>
  <c r="I17" i="2"/>
  <c r="H17" i="2"/>
  <c r="G17" i="2"/>
  <c r="F17" i="2"/>
  <c r="E17" i="2"/>
  <c r="D17" i="2"/>
  <c r="C17" i="2"/>
  <c r="B17" i="2"/>
  <c r="K16" i="2"/>
  <c r="J16" i="2"/>
  <c r="I16" i="2"/>
  <c r="H16" i="2"/>
  <c r="G16" i="2"/>
  <c r="F16" i="2"/>
  <c r="E16" i="2"/>
  <c r="D16" i="2"/>
  <c r="C16" i="2"/>
  <c r="B16" i="2"/>
  <c r="K15" i="2"/>
  <c r="J15" i="2"/>
  <c r="I15" i="2"/>
  <c r="H15" i="2"/>
  <c r="G15" i="2"/>
  <c r="F15" i="2"/>
  <c r="E15" i="2"/>
  <c r="D15" i="2"/>
  <c r="C15" i="2"/>
  <c r="B15" i="2"/>
  <c r="K14" i="2"/>
  <c r="J14" i="2"/>
  <c r="I14" i="2"/>
  <c r="H14" i="2"/>
  <c r="G14" i="2"/>
  <c r="F14" i="2"/>
  <c r="E14" i="2"/>
  <c r="D14" i="2"/>
  <c r="C14" i="2"/>
  <c r="B14" i="2"/>
  <c r="K13" i="2"/>
  <c r="J13" i="2"/>
  <c r="I13" i="2"/>
  <c r="H13" i="2"/>
  <c r="G13" i="2"/>
  <c r="F13" i="2"/>
  <c r="E13" i="2"/>
  <c r="D13" i="2"/>
  <c r="C13" i="2"/>
  <c r="B13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E11" i="2"/>
  <c r="D11" i="2"/>
  <c r="C11" i="2"/>
  <c r="B11" i="2"/>
  <c r="K10" i="2"/>
  <c r="J10" i="2"/>
  <c r="I10" i="2"/>
  <c r="H10" i="2"/>
  <c r="G10" i="2"/>
  <c r="F10" i="2"/>
  <c r="E10" i="2"/>
  <c r="D10" i="2"/>
  <c r="C10" i="2"/>
  <c r="B10" i="2"/>
  <c r="K9" i="2"/>
  <c r="J9" i="2"/>
  <c r="I9" i="2"/>
  <c r="H9" i="2"/>
  <c r="G9" i="2"/>
  <c r="F9" i="2"/>
  <c r="E9" i="2"/>
  <c r="D9" i="2"/>
  <c r="C9" i="2"/>
  <c r="B9" i="2"/>
  <c r="B7" i="1"/>
  <c r="B6" i="1"/>
  <c r="B5" i="1"/>
  <c r="B4" i="1"/>
  <c r="G5" i="3" a="1"/>
  <c r="G5" i="3"/>
  <c r="G6" i="3" a="1"/>
  <c r="G6" i="3"/>
  <c r="G7" i="3" a="1"/>
  <c r="G7" i="3"/>
  <c r="G8" i="3" a="1"/>
  <c r="G8" i="3"/>
</calcChain>
</file>

<file path=xl/sharedStrings.xml><?xml version="1.0" encoding="utf-8"?>
<sst xmlns="http://schemas.openxmlformats.org/spreadsheetml/2006/main" count="54" uniqueCount="54">
  <si>
    <t>Preces cena ir 3,20 eiro.  Ja pēr 3 vai vairāk vienādas preces, par katru preci jāmaksā tikai 2,90 eiro. Uzrakstīt formulu kas aprēķina maksu par pirkumu</t>
  </si>
  <si>
    <t>Daudzums</t>
  </si>
  <si>
    <t>Maksa (ja pērk 3 un vairāk, jāmaksā mazāk)</t>
  </si>
  <si>
    <t>Dots:</t>
  </si>
  <si>
    <t>leņķis grādos starp trijstūra malām a un b:</t>
  </si>
  <si>
    <t xml:space="preserve">  malu a un b garumi</t>
  </si>
  <si>
    <t>Aprēķināt:</t>
  </si>
  <si>
    <t>visus iespējamos malas c garumus pēc kosinusu teorēmas</t>
  </si>
  <si>
    <t xml:space="preserve">       b   a</t>
  </si>
  <si>
    <t>Šūnu apgabalu D5:F8 aizpildīt ar formulām, kas nosaka vai ir spēkā visas trijstūra nevienādibas. Izveidotās fomulas izmantot, lai G kolonnā noskaidrotu, var vai nevar konstruēt trijstūri</t>
  </si>
  <si>
    <t>Nogriežņu garumi</t>
  </si>
  <si>
    <t>Trijstūra nevienādības</t>
  </si>
  <si>
    <t>a</t>
  </si>
  <si>
    <t>b</t>
  </si>
  <si>
    <t>c</t>
  </si>
  <si>
    <t>a+b&gt;c</t>
  </si>
  <si>
    <t>a+c&gt;b</t>
  </si>
  <si>
    <t>b+c&gt;a</t>
  </si>
  <si>
    <t>jā/nē</t>
  </si>
  <si>
    <t>E kolonnā jāievada formula, kas atrod A kolonnā dotā personvārda locījumu vokatīvā, izmantojot datus no C un D kolonnām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</si>
  <si>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</si>
  <si>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</si>
  <si>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</si>
  <si>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</si>
  <si>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</si>
  <si>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</si>
  <si>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</si>
  <si>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</si>
  <si>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</si>
  <si>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</si>
  <si>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</si>
  <si>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</si>
  <si>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</si>
  <si>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</si>
  <si>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</si>
  <si>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</si>
  <si>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</si>
  <si>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 xml:space="preserve">B kolonnā jāivada fomula, kas atkarībā no A kolonnas atbilstošās šūnas vērtības parāda tekstu "cents" vai "centi". A kolonnas vērtības vienmēr būs intervālā [1;99]. </t>
  </si>
  <si>
    <t>Summa centos</t>
  </si>
  <si>
    <t>Apzīmējums (Centi vai cents)</t>
  </si>
  <si>
    <t xml:space="preserve">Zināms, ka visi trijstūri zaļajā figūrā ir taisnleņķa vienādsānu trijstūri. </t>
  </si>
  <si>
    <t>Aprēķināt</t>
  </si>
  <si>
    <t>zaļās figūras tilpumu</t>
  </si>
  <si>
    <t>zaļās figūras virsmas laukumu</t>
  </si>
  <si>
    <t>palīgdarbības:</t>
  </si>
  <si>
    <t>mazā trijstūra katetes garums</t>
  </si>
  <si>
    <t>lielā trijstūra katetes garums</t>
  </si>
  <si>
    <t>mazā trijstūra laukums</t>
  </si>
  <si>
    <t>lielā trijstūra laukums</t>
  </si>
  <si>
    <t>mazās trijstūrveida figūras (cauruma) tilpums</t>
  </si>
  <si>
    <t>lielās trijstūrveida figūras tilpums</t>
  </si>
  <si>
    <t>Vai var konstruēt trijstūri?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</si>
</sst>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"/>
    <numFmt numFmtId="165" formatCode="\ #,##0\ ;\-#,##0\ ;&quot; -&quot;#\ ;@\ "/>
    <numFmt numFmtId="166" formatCode="_(* #,##0.00_);_(* \(#,##0.00\);_(* &quot;-&quot;??_);_(@_)"/>
  </numFmts>
  <fonts count="10" x14ac:knownFonts="1">
    <font>
      <sz val="11"/>
      <name val="Calibri"/>
      <scheme val="minor"/>
    </font>
    <font>
      <b/>
      <sz val="15"/>
      <color rgb="FF44546A"/>
      <name val="Calibri"/>
    </font>
    <font>
      <sz val="11"/>
      <name val="Calibri"/>
    </font>
    <font>
      <sz val="10"/>
      <name val="Arial"/>
    </font>
    <font>
      <b/>
      <sz val="10"/>
      <name val="Arial"/>
    </font>
    <font>
      <sz val="14"/>
      <name val="Arial"/>
    </font>
    <font>
      <sz val="15"/>
      <color rgb="FF44546A"/>
      <name val="Calibri"/>
    </font>
    <font>
      <b/>
      <sz val="11"/>
      <name val="Calibri"/>
    </font>
    <font>
      <sz val="11"/>
      <name val="Calibri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3" fillId="0" borderId="0" xfId="0" applyFont="1" applyAlignment="1">
      <alignment vertical="center"/>
    </xf>
    <xf numFmtId="0" fontId="5" fillId="0" borderId="0" xfId="0" applyFont="1"/>
    <xf numFmtId="0" fontId="5" fillId="2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/>
    <xf numFmtId="0" fontId="5" fillId="0" borderId="0" xfId="0" applyFont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5" fillId="3" borderId="2" xfId="0" applyFont="1" applyFill="1" applyBorder="1"/>
    <xf numFmtId="0" fontId="9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/>
    <xf numFmtId="0" fontId="9" fillId="2" borderId="2" xfId="0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/>
    </xf>
    <xf numFmtId="165" fontId="5" fillId="3" borderId="2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  <xf numFmtId="166" fontId="8" fillId="3" borderId="2" xfId="0" applyNumberFormat="1" applyFont="1" applyFill="1" applyBorder="1"/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164" fontId="1" fillId="0" borderId="0" xfId="0" applyNumberFormat="1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11" xfId="0" applyFont="1" applyBorder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 /><Relationship Id="rId1" Type="http://schemas.openxmlformats.org/officeDocument/2006/relationships/image" Target="../media/image1.jp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104775</xdr:colOff>
      <xdr:row>3</xdr:row>
      <xdr:rowOff>180975</xdr:rowOff>
    </xdr:from>
    <xdr:ext cx="3095625" cy="30194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0</xdr:row>
      <xdr:rowOff>57150</xdr:rowOff>
    </xdr:from>
    <xdr:ext cx="3781425" cy="14668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495300</xdr:colOff>
      <xdr:row>18</xdr:row>
      <xdr:rowOff>171450</xdr:rowOff>
    </xdr:from>
    <xdr:ext cx="904875" cy="209550"/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prstDash val="solid"/>
          <a:miter lim="800000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228600</xdr:colOff>
      <xdr:row>17</xdr:row>
      <xdr:rowOff>142875</xdr:rowOff>
    </xdr:from>
    <xdr:ext cx="323850" cy="2476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 fLocksWithSheet="0"/>
  </xdr:oneCellAnchor>
  <xdr:oneCellAnchor>
    <xdr:from>
      <xdr:col>13</xdr:col>
      <xdr:colOff>438150</xdr:colOff>
      <xdr:row>18</xdr:row>
      <xdr:rowOff>28575</xdr:rowOff>
    </xdr:from>
    <xdr:ext cx="1038225" cy="123825"/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prstDash val="solid"/>
          <a:miter lim="800000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14</xdr:col>
      <xdr:colOff>95250</xdr:colOff>
      <xdr:row>16</xdr:row>
      <xdr:rowOff>133350</xdr:rowOff>
    </xdr:from>
    <xdr:ext cx="323850" cy="2476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 fLocksWithSheet="0"/>
  </xdr:oneCellAnchor>
  <xdr:oneCellAnchor>
    <xdr:from>
      <xdr:col>9</xdr:col>
      <xdr:colOff>200025</xdr:colOff>
      <xdr:row>19</xdr:row>
      <xdr:rowOff>57150</xdr:rowOff>
    </xdr:from>
    <xdr:ext cx="1295400" cy="133350"/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prstDash val="solid"/>
          <a:miter lim="800000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9525</xdr:rowOff>
    </xdr:from>
    <xdr:ext cx="323850" cy="2571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 fLocksWithSheet="0"/>
  </xdr:oneCellAnchor>
  <xdr:oneCellAnchor>
    <xdr:from>
      <xdr:col>13</xdr:col>
      <xdr:colOff>76200</xdr:colOff>
      <xdr:row>15</xdr:row>
      <xdr:rowOff>152400</xdr:rowOff>
    </xdr:from>
    <xdr:ext cx="323850" cy="29527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 fLocksWithSheet="0"/>
  </xdr:oneCellAnchor>
  <xdr:oneCellAnchor>
    <xdr:from>
      <xdr:col>11</xdr:col>
      <xdr:colOff>466725</xdr:colOff>
      <xdr:row>15</xdr:row>
      <xdr:rowOff>171450</xdr:rowOff>
    </xdr:from>
    <xdr:ext cx="295275" cy="29527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 fLocksWithSheet="0"/>
  </xdr:oneCellAnchor>
  <xdr:oneCellAnchor>
    <xdr:from>
      <xdr:col>11</xdr:col>
      <xdr:colOff>333375</xdr:colOff>
      <xdr:row>18</xdr:row>
      <xdr:rowOff>152400</xdr:rowOff>
    </xdr:from>
    <xdr:ext cx="1247775" cy="114300"/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prstDash val="solid"/>
          <a:miter lim="800000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266700</xdr:colOff>
      <xdr:row>17</xdr:row>
      <xdr:rowOff>114300</xdr:rowOff>
    </xdr:from>
    <xdr:ext cx="323850" cy="2476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 fLocksWithSheet="0"/>
  </xdr:oneCellAnchor>
  <xdr:oneCellAnchor>
    <xdr:from>
      <xdr:col>7</xdr:col>
      <xdr:colOff>438150</xdr:colOff>
      <xdr:row>7</xdr:row>
      <xdr:rowOff>133350</xdr:rowOff>
    </xdr:from>
    <xdr:ext cx="4876800" cy="28194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workbookViewId="0">
      <selection activeCell="D15" sqref="D15"/>
    </sheetView>
  </sheetViews>
  <sheetFormatPr defaultColWidth="14.390625" defaultRowHeight="15" customHeight="1" x14ac:dyDescent="0.2"/>
  <cols>
    <col min="1" max="1" width="12.64453125" customWidth="1"/>
    <col min="2" max="2" width="58.3828125" customWidth="1"/>
    <col min="3" max="22" width="8.875" customWidth="1"/>
  </cols>
  <sheetData>
    <row r="1" spans="1:22" ht="36" customHeight="1" x14ac:dyDescent="0.2">
      <c r="A1" s="30" t="s">
        <v>0</v>
      </c>
      <c r="B1" s="31"/>
      <c r="C1" s="31"/>
      <c r="D1" s="31"/>
      <c r="E1" s="31"/>
      <c r="F1" s="31"/>
      <c r="G1" s="31"/>
      <c r="H1" s="31"/>
      <c r="I1" s="1"/>
      <c r="J1" s="1"/>
      <c r="K1" s="32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17.2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26.25" customHeight="1" x14ac:dyDescent="0.2">
      <c r="A3" s="3" t="s">
        <v>1</v>
      </c>
      <c r="B3" s="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7.25" customHeight="1" x14ac:dyDescent="0.2">
      <c r="A4" s="4">
        <v>1</v>
      </c>
      <c r="B4" s="5">
        <f t="shared" ref="B4:B7" si="0">IF(A4&gt;2,A4*2.9,A4*3.2)</f>
        <v>3.2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7.25" customHeight="1" x14ac:dyDescent="0.2">
      <c r="A5" s="4">
        <v>2</v>
      </c>
      <c r="B5" s="5">
        <f t="shared" si="0"/>
        <v>6.4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7.25" customHeight="1" x14ac:dyDescent="0.2">
      <c r="A6" s="4">
        <v>3</v>
      </c>
      <c r="B6" s="5">
        <f t="shared" si="0"/>
        <v>8.6999999999999993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7.25" customHeight="1" x14ac:dyDescent="0.2">
      <c r="A7" s="4">
        <v>4</v>
      </c>
      <c r="B7" s="5">
        <f t="shared" si="0"/>
        <v>11.6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7.2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7.2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7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7.2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7.2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7.2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7.2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7.2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7.2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7.2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7.2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7.2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7.2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7.2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7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7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7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7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7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7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7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7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7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7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7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7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7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7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7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7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7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7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7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7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7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7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7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7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7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7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7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7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7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7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7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7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7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7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7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7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7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7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7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7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7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7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7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7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7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7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7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7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7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7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7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7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7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7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7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7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7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7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7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7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7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7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7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7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7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7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7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7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7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7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7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7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7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7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7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7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7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7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</sheetData>
  <mergeCells count="2">
    <mergeCell ref="A1:H1"/>
    <mergeCell ref="K1:V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workbookViewId="0"/>
  </sheetViews>
  <sheetFormatPr defaultColWidth="14.390625" defaultRowHeight="15" customHeight="1" x14ac:dyDescent="0.2"/>
  <cols>
    <col min="1" max="1" width="6.3203125" customWidth="1"/>
    <col min="2" max="18" width="8.7421875" customWidth="1"/>
  </cols>
  <sheetData>
    <row r="1" spans="1:13" ht="20.25" customHeight="1" x14ac:dyDescent="0.25">
      <c r="A1" s="6" t="s">
        <v>3</v>
      </c>
      <c r="B1" s="6"/>
      <c r="C1" s="6"/>
      <c r="D1" s="6"/>
      <c r="E1" s="6"/>
      <c r="F1" s="6"/>
      <c r="G1" s="6"/>
      <c r="H1" s="6"/>
      <c r="I1" s="7"/>
      <c r="J1" s="7"/>
      <c r="K1" s="7"/>
      <c r="L1" s="7"/>
      <c r="M1" s="7"/>
    </row>
    <row r="2" spans="1:13" ht="20.25" customHeight="1" x14ac:dyDescent="0.25">
      <c r="A2" s="34" t="s">
        <v>4</v>
      </c>
      <c r="B2" s="33"/>
      <c r="C2" s="33"/>
      <c r="D2" s="33"/>
      <c r="E2" s="33"/>
      <c r="F2" s="33"/>
      <c r="G2" s="6">
        <v>24</v>
      </c>
      <c r="H2" s="6"/>
      <c r="I2" s="7"/>
      <c r="J2" s="7"/>
      <c r="K2" s="7"/>
      <c r="L2" s="7"/>
      <c r="M2" s="7"/>
    </row>
    <row r="3" spans="1:13" ht="20.25" customHeight="1" x14ac:dyDescent="0.25">
      <c r="A3" s="35" t="s">
        <v>5</v>
      </c>
      <c r="B3" s="33"/>
      <c r="C3" s="33"/>
      <c r="D3" s="33"/>
      <c r="E3" s="33"/>
      <c r="F3" s="6"/>
      <c r="G3" s="6"/>
      <c r="H3" s="6"/>
      <c r="I3" s="7"/>
      <c r="J3" s="7"/>
      <c r="K3" s="7"/>
      <c r="L3" s="7"/>
      <c r="M3" s="7"/>
    </row>
    <row r="4" spans="1:13" ht="20.25" customHeight="1" x14ac:dyDescent="0.25">
      <c r="A4" s="35" t="s">
        <v>6</v>
      </c>
      <c r="B4" s="33"/>
      <c r="C4" s="33"/>
      <c r="D4" s="33"/>
      <c r="E4" s="6"/>
      <c r="F4" s="6"/>
      <c r="G4" s="6"/>
      <c r="H4" s="6"/>
      <c r="I4" s="7"/>
      <c r="J4" s="7"/>
      <c r="K4" s="7"/>
      <c r="L4" s="7"/>
      <c r="M4" s="7"/>
    </row>
    <row r="5" spans="1:13" ht="20.25" customHeight="1" x14ac:dyDescent="0.25">
      <c r="A5" s="36" t="s">
        <v>7</v>
      </c>
      <c r="B5" s="31"/>
      <c r="C5" s="31"/>
      <c r="D5" s="31"/>
      <c r="E5" s="31"/>
      <c r="F5" s="31"/>
      <c r="G5" s="31"/>
      <c r="H5" s="31"/>
      <c r="I5" s="8"/>
      <c r="J5" s="8"/>
      <c r="K5" s="8"/>
      <c r="L5" s="8"/>
      <c r="M5" s="8"/>
    </row>
    <row r="6" spans="1:13" ht="20.25" customHeight="1" x14ac:dyDescent="0.2"/>
    <row r="7" spans="1:13" ht="20.25" customHeight="1" x14ac:dyDescent="0.2"/>
    <row r="8" spans="1:13" ht="30.75" customHeight="1" x14ac:dyDescent="0.2">
      <c r="A8" s="9" t="s">
        <v>8</v>
      </c>
      <c r="B8" s="10">
        <v>1</v>
      </c>
      <c r="C8" s="10">
        <v>3</v>
      </c>
      <c r="D8" s="10">
        <v>5</v>
      </c>
      <c r="E8" s="10">
        <v>7</v>
      </c>
      <c r="F8" s="10">
        <v>9</v>
      </c>
      <c r="G8" s="10">
        <v>11</v>
      </c>
      <c r="H8" s="10">
        <v>13</v>
      </c>
      <c r="I8" s="10">
        <v>15</v>
      </c>
      <c r="J8" s="10">
        <v>17</v>
      </c>
      <c r="K8" s="10">
        <v>19</v>
      </c>
    </row>
    <row r="9" spans="1:13" ht="14.25" customHeight="1" x14ac:dyDescent="0.2">
      <c r="A9" s="11">
        <v>2</v>
      </c>
      <c r="B9" s="12">
        <f t="shared" ref="B9:K9" si="0">SQRT($A9^2+B$8^2-2*$A9*B$8*COS(RADIANS(24)))</f>
        <v>1.160094034735804</v>
      </c>
      <c r="C9" s="12">
        <f t="shared" si="0"/>
        <v>1.4273943072216553</v>
      </c>
      <c r="D9" s="12">
        <f t="shared" si="0"/>
        <v>3.275529094230119</v>
      </c>
      <c r="E9" s="12">
        <f t="shared" si="0"/>
        <v>5.2364804197100918</v>
      </c>
      <c r="F9" s="12">
        <f t="shared" si="0"/>
        <v>7.2188893553555982</v>
      </c>
      <c r="G9" s="12">
        <f t="shared" si="0"/>
        <v>9.2089087227383004</v>
      </c>
      <c r="H9" s="12">
        <f t="shared" si="0"/>
        <v>11.202483483700602</v>
      </c>
      <c r="I9" s="12">
        <f t="shared" si="0"/>
        <v>13.198002596659993</v>
      </c>
      <c r="J9" s="12">
        <f t="shared" si="0"/>
        <v>15.194700026005881</v>
      </c>
      <c r="K9" s="12">
        <f t="shared" si="0"/>
        <v>17.192165227776353</v>
      </c>
    </row>
    <row r="10" spans="1:13" ht="14.25" customHeight="1" x14ac:dyDescent="0.2">
      <c r="A10" s="11">
        <v>4</v>
      </c>
      <c r="B10" s="12">
        <f t="shared" ref="B10:K10" si="1">SQRT($A10^2+B$8^2-2*$A10*B$8*COS(RADIANS(24)))</f>
        <v>3.1131393060477062</v>
      </c>
      <c r="C10" s="12">
        <f t="shared" si="1"/>
        <v>1.7535418491092758</v>
      </c>
      <c r="D10" s="12">
        <f t="shared" si="1"/>
        <v>2.1114406679554047</v>
      </c>
      <c r="E10" s="12">
        <f t="shared" si="1"/>
        <v>3.7204105112224317</v>
      </c>
      <c r="F10" s="12">
        <f t="shared" si="1"/>
        <v>5.5879090051407188</v>
      </c>
      <c r="G10" s="12">
        <f t="shared" si="1"/>
        <v>7.5238287944005693</v>
      </c>
      <c r="H10" s="12">
        <f t="shared" si="1"/>
        <v>9.4863729847170521</v>
      </c>
      <c r="I10" s="12">
        <f t="shared" si="1"/>
        <v>11.461873541567622</v>
      </c>
      <c r="J10" s="12">
        <f t="shared" si="1"/>
        <v>13.444620402250347</v>
      </c>
      <c r="K10" s="12">
        <f t="shared" si="1"/>
        <v>15.431820710412776</v>
      </c>
    </row>
    <row r="11" spans="1:13" ht="14.25" customHeight="1" x14ac:dyDescent="0.2">
      <c r="A11" s="11">
        <v>6</v>
      </c>
      <c r="B11" s="12">
        <f t="shared" ref="B11:K11" si="2">SQRT($A11^2+B$8^2-2*$A11*B$8*COS(RADIANS(24)))</f>
        <v>5.1026909085588157</v>
      </c>
      <c r="C11" s="12">
        <f t="shared" si="2"/>
        <v>3.4802821042074115</v>
      </c>
      <c r="D11" s="12">
        <f t="shared" si="2"/>
        <v>2.487422871456308</v>
      </c>
      <c r="E11" s="12">
        <f t="shared" si="2"/>
        <v>2.8744010781415881</v>
      </c>
      <c r="F11" s="12">
        <f t="shared" si="2"/>
        <v>4.2821829216649654</v>
      </c>
      <c r="G11" s="12">
        <f t="shared" si="2"/>
        <v>6.0342356260902408</v>
      </c>
      <c r="H11" s="12">
        <f t="shared" si="2"/>
        <v>7.9048661347143794</v>
      </c>
      <c r="I11" s="12">
        <f t="shared" si="2"/>
        <v>9.8265872826903564</v>
      </c>
      <c r="J11" s="12">
        <f t="shared" si="2"/>
        <v>11.774409821341765</v>
      </c>
      <c r="K11" s="12">
        <f t="shared" si="2"/>
        <v>13.737235371700049</v>
      </c>
    </row>
    <row r="12" spans="1:13" ht="14.25" customHeight="1" x14ac:dyDescent="0.2">
      <c r="A12" s="11">
        <v>8</v>
      </c>
      <c r="B12" s="12">
        <f t="shared" ref="B12:K12" si="3">SQRT($A12^2+B$8^2-2*$A12*B$8*COS(RADIANS(24)))</f>
        <v>7.0981175446535394</v>
      </c>
      <c r="C12" s="12">
        <f t="shared" si="3"/>
        <v>5.39905714297924</v>
      </c>
      <c r="D12" s="12">
        <f t="shared" si="3"/>
        <v>3.9895317254775571</v>
      </c>
      <c r="E12" s="12">
        <f t="shared" si="3"/>
        <v>3.2684719279854169</v>
      </c>
      <c r="F12" s="12">
        <f t="shared" si="3"/>
        <v>3.6673497378168705</v>
      </c>
      <c r="G12" s="12">
        <f t="shared" si="3"/>
        <v>4.9209754576610374</v>
      </c>
      <c r="H12" s="12">
        <f t="shared" si="3"/>
        <v>6.5561074434712419</v>
      </c>
      <c r="I12" s="12">
        <f t="shared" si="3"/>
        <v>8.3515920737171889</v>
      </c>
      <c r="J12" s="12">
        <f t="shared" si="3"/>
        <v>10.223288879867015</v>
      </c>
      <c r="K12" s="12">
        <f t="shared" si="3"/>
        <v>12.1359870169941</v>
      </c>
    </row>
    <row r="13" spans="1:13" ht="14.25" customHeight="1" x14ac:dyDescent="0.2">
      <c r="A13" s="11">
        <v>10</v>
      </c>
      <c r="B13" s="12">
        <f t="shared" ref="B13:K13" si="4">SQRT($A13^2+B$8^2-2*$A13*B$8*COS(RADIANS(24)))</f>
        <v>9.095553355741913</v>
      </c>
      <c r="C13" s="12">
        <f t="shared" si="4"/>
        <v>7.3612004823563897</v>
      </c>
      <c r="D13" s="12">
        <f t="shared" si="4"/>
        <v>5.8004701736790203</v>
      </c>
      <c r="E13" s="12">
        <f t="shared" si="4"/>
        <v>4.5938693853913479</v>
      </c>
      <c r="F13" s="12">
        <f t="shared" si="4"/>
        <v>4.0696213121532372</v>
      </c>
      <c r="G13" s="12">
        <f t="shared" si="4"/>
        <v>4.4743713880977527</v>
      </c>
      <c r="H13" s="12">
        <f t="shared" si="4"/>
        <v>5.6105419535837875</v>
      </c>
      <c r="I13" s="12">
        <f t="shared" si="4"/>
        <v>7.1369715361082786</v>
      </c>
      <c r="J13" s="12">
        <f t="shared" si="4"/>
        <v>8.8540693695902171</v>
      </c>
      <c r="K13" s="12">
        <f t="shared" si="4"/>
        <v>10.67017929070602</v>
      </c>
    </row>
    <row r="14" spans="1:13" ht="14.25" customHeight="1" x14ac:dyDescent="0.2">
      <c r="A14" s="11">
        <v>12</v>
      </c>
      <c r="B14" s="12">
        <f t="shared" ref="B14:K14" si="5">SQRT($A14^2+B$8^2-2*$A14*B$8*COS(RADIANS(24)))</f>
        <v>11.093913151660129</v>
      </c>
      <c r="C14" s="12">
        <f t="shared" si="5"/>
        <v>9.3394179181431181</v>
      </c>
      <c r="D14" s="12">
        <f t="shared" si="5"/>
        <v>7.7054879847345097</v>
      </c>
      <c r="E14" s="12">
        <f t="shared" si="5"/>
        <v>6.2868404716553012</v>
      </c>
      <c r="F14" s="12">
        <f t="shared" si="5"/>
        <v>5.2606255473278276</v>
      </c>
      <c r="G14" s="12">
        <f t="shared" si="5"/>
        <v>4.8809834236917213</v>
      </c>
      <c r="H14" s="12">
        <f t="shared" si="5"/>
        <v>5.2890280029045522</v>
      </c>
      <c r="I14" s="12">
        <f t="shared" si="5"/>
        <v>6.3343220038662125</v>
      </c>
      <c r="J14" s="12">
        <f t="shared" si="5"/>
        <v>7.7635979598262832</v>
      </c>
      <c r="K14" s="12">
        <f t="shared" si="5"/>
        <v>9.4033648932163629</v>
      </c>
    </row>
    <row r="15" spans="1:13" ht="14.25" customHeight="1" x14ac:dyDescent="0.2">
      <c r="A15" s="11">
        <v>14</v>
      </c>
      <c r="B15" s="12">
        <f t="shared" ref="B15:K15" si="6">SQRT($A15^2+B$8^2-2*$A15*B$8*COS(RADIANS(24)))</f>
        <v>13.092773853771675</v>
      </c>
      <c r="C15" s="12">
        <f t="shared" si="6"/>
        <v>11.325289469060891</v>
      </c>
      <c r="D15" s="12">
        <f t="shared" si="6"/>
        <v>9.649022537544198</v>
      </c>
      <c r="E15" s="12">
        <f t="shared" si="6"/>
        <v>8.1206582431506273</v>
      </c>
      <c r="F15" s="12">
        <f t="shared" si="6"/>
        <v>6.8400690547731005</v>
      </c>
      <c r="G15" s="12">
        <f t="shared" si="6"/>
        <v>5.9689194203037212</v>
      </c>
      <c r="H15" s="12">
        <f t="shared" si="6"/>
        <v>5.6981973832163169</v>
      </c>
      <c r="I15" s="12">
        <f t="shared" si="6"/>
        <v>6.1082655304192244</v>
      </c>
      <c r="J15" s="12">
        <f t="shared" si="6"/>
        <v>7.0818332486808782</v>
      </c>
      <c r="K15" s="12">
        <f t="shared" si="6"/>
        <v>8.4257828439935682</v>
      </c>
    </row>
    <row r="16" spans="1:13" ht="14.25" customHeight="1" x14ac:dyDescent="0.2">
      <c r="A16" s="11">
        <v>16</v>
      </c>
      <c r="B16" s="12">
        <f t="shared" ref="B16:K16" si="7">SQRT($A16^2+B$8^2-2*$A16*B$8*COS(RADIANS(24)))</f>
        <v>15.091936434912412</v>
      </c>
      <c r="C16" s="12">
        <f t="shared" si="7"/>
        <v>13.315390946807019</v>
      </c>
      <c r="D16" s="12">
        <f t="shared" si="7"/>
        <v>11.611749514056177</v>
      </c>
      <c r="E16" s="12">
        <f t="shared" si="7"/>
        <v>10.01827417712539</v>
      </c>
      <c r="F16" s="12">
        <f t="shared" si="7"/>
        <v>8.5964474173306584</v>
      </c>
      <c r="G16" s="12">
        <f t="shared" si="7"/>
        <v>7.4452668796897079</v>
      </c>
      <c r="H16" s="12">
        <f t="shared" si="7"/>
        <v>6.7056013615989762</v>
      </c>
      <c r="I16" s="12">
        <f t="shared" si="7"/>
        <v>6.5190628415096263</v>
      </c>
      <c r="J16" s="12">
        <f t="shared" si="7"/>
        <v>6.930459655926521</v>
      </c>
      <c r="K16" s="12">
        <f t="shared" si="7"/>
        <v>7.8462960531258776</v>
      </c>
    </row>
    <row r="17" spans="1:11" ht="14.25" customHeight="1" x14ac:dyDescent="0.2">
      <c r="A17" s="11">
        <v>18</v>
      </c>
      <c r="B17" s="12">
        <f t="shared" ref="B17:K17" si="8">SQRT($A17^2+B$8^2-2*$A17*B$8*COS(RADIANS(24)))</f>
        <v>17.091294963368526</v>
      </c>
      <c r="C17" s="12">
        <f t="shared" si="8"/>
        <v>15.308072725676446</v>
      </c>
      <c r="D17" s="12">
        <f t="shared" si="8"/>
        <v>13.585353054828271</v>
      </c>
      <c r="E17" s="12">
        <f t="shared" si="8"/>
        <v>11.949332394492362</v>
      </c>
      <c r="F17" s="12">
        <f t="shared" si="8"/>
        <v>10.440846312622236</v>
      </c>
      <c r="G17" s="12">
        <f t="shared" si="8"/>
        <v>9.1233765007002798</v>
      </c>
      <c r="H17" s="12">
        <f t="shared" si="8"/>
        <v>8.0907802975524437</v>
      </c>
      <c r="I17" s="12">
        <f t="shared" si="8"/>
        <v>7.4622686143689263</v>
      </c>
      <c r="J17" s="12">
        <f t="shared" si="8"/>
        <v>7.3423552027076626</v>
      </c>
      <c r="K17" s="12">
        <f t="shared" si="8"/>
        <v>7.7546700105459649</v>
      </c>
    </row>
    <row r="18" spans="1:11" ht="14.25" customHeight="1" x14ac:dyDescent="0.2">
      <c r="A18" s="11">
        <v>20</v>
      </c>
      <c r="B18" s="12">
        <f t="shared" ref="B18:K18" si="9">SQRT($A18^2+B$8^2-2*$A18*B$8*COS(RADIANS(24)))</f>
        <v>19.090787875158426</v>
      </c>
      <c r="C18" s="12">
        <f t="shared" si="9"/>
        <v>17.302443326966511</v>
      </c>
      <c r="D18" s="12">
        <f t="shared" si="9"/>
        <v>15.565696530238531</v>
      </c>
      <c r="E18" s="12">
        <f t="shared" si="9"/>
        <v>13.899901865123788</v>
      </c>
      <c r="F18" s="12">
        <f t="shared" si="9"/>
        <v>12.333841058188794</v>
      </c>
      <c r="G18" s="12">
        <f t="shared" si="9"/>
        <v>10.910545295137894</v>
      </c>
      <c r="H18" s="12">
        <f t="shared" si="9"/>
        <v>9.6931089969032929</v>
      </c>
      <c r="I18" s="12">
        <f t="shared" si="9"/>
        <v>8.7677092455463832</v>
      </c>
      <c r="J18" s="12">
        <f t="shared" si="9"/>
        <v>8.2334129498666222</v>
      </c>
      <c r="K18" s="12">
        <f t="shared" si="9"/>
        <v>8.1673405825656182</v>
      </c>
    </row>
    <row r="19" spans="1:11" ht="14.25" customHeight="1" x14ac:dyDescent="0.2"/>
    <row r="20" spans="1:11" ht="14.25" customHeight="1" x14ac:dyDescent="0.2"/>
    <row r="21" spans="1:11" ht="14.25" customHeight="1" x14ac:dyDescent="0.2"/>
    <row r="22" spans="1:11" ht="14.25" customHeight="1" x14ac:dyDescent="0.2"/>
    <row r="23" spans="1:11" ht="14.25" customHeight="1" x14ac:dyDescent="0.2"/>
    <row r="24" spans="1:11" ht="14.25" customHeight="1" x14ac:dyDescent="0.2"/>
    <row r="25" spans="1:11" ht="14.25" customHeight="1" x14ac:dyDescent="0.2"/>
    <row r="26" spans="1:11" ht="14.25" customHeight="1" x14ac:dyDescent="0.2"/>
    <row r="27" spans="1:11" ht="14.25" customHeight="1" x14ac:dyDescent="0.2"/>
    <row r="28" spans="1:11" ht="14.25" customHeight="1" x14ac:dyDescent="0.2"/>
    <row r="29" spans="1:11" ht="14.25" customHeight="1" x14ac:dyDescent="0.2"/>
    <row r="30" spans="1:11" ht="14.25" customHeight="1" x14ac:dyDescent="0.2"/>
    <row r="31" spans="1:11" ht="14.25" customHeight="1" x14ac:dyDescent="0.2"/>
    <row r="32" spans="1:1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</sheetData>
  <mergeCells count="4">
    <mergeCell ref="A2:F2"/>
    <mergeCell ref="A3:E3"/>
    <mergeCell ref="A4:D4"/>
    <mergeCell ref="A5:H5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"/>
  <sheetViews>
    <sheetView tabSelected="1" workbookViewId="0">
      <selection activeCell="G19" sqref="G19"/>
    </sheetView>
  </sheetViews>
  <sheetFormatPr defaultColWidth="14.390625" defaultRowHeight="15" customHeight="1" x14ac:dyDescent="0.2"/>
  <cols>
    <col min="1" max="3" width="8.875" customWidth="1"/>
    <col min="4" max="4" width="12.23828125" customWidth="1"/>
    <col min="5" max="6" width="10.89453125" customWidth="1"/>
    <col min="7" max="7" width="33.8984375" customWidth="1"/>
    <col min="8" max="22" width="8.875" customWidth="1"/>
  </cols>
  <sheetData>
    <row r="1" spans="1:22" ht="66" customHeight="1" x14ac:dyDescent="0.2">
      <c r="A1" s="30" t="s">
        <v>9</v>
      </c>
      <c r="B1" s="31"/>
      <c r="C1" s="31"/>
      <c r="D1" s="31"/>
      <c r="E1" s="31"/>
      <c r="F1" s="31"/>
      <c r="G1" s="31"/>
      <c r="H1" s="31"/>
      <c r="I1" s="1"/>
      <c r="J1" s="1"/>
      <c r="K1" s="32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17.25" customHeight="1" x14ac:dyDescent="0.2">
      <c r="A2" s="2"/>
      <c r="B2" s="2"/>
      <c r="C2" s="2"/>
      <c r="D2" s="2"/>
      <c r="E2" s="2"/>
      <c r="F2" s="2"/>
      <c r="G2" s="1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7.25" customHeight="1" x14ac:dyDescent="0.2">
      <c r="A3" s="38" t="s">
        <v>10</v>
      </c>
      <c r="B3" s="39"/>
      <c r="C3" s="40"/>
      <c r="D3" s="38" t="s">
        <v>11</v>
      </c>
      <c r="E3" s="39"/>
      <c r="F3" s="40"/>
      <c r="G3" s="14" t="s">
        <v>51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7.25" customHeight="1" x14ac:dyDescent="0.2">
      <c r="A4" s="15" t="s">
        <v>12</v>
      </c>
      <c r="B4" s="16" t="s">
        <v>13</v>
      </c>
      <c r="C4" s="17" t="s">
        <v>14</v>
      </c>
      <c r="D4" s="15" t="s">
        <v>15</v>
      </c>
      <c r="E4" s="16" t="s">
        <v>16</v>
      </c>
      <c r="F4" s="17" t="s">
        <v>17</v>
      </c>
      <c r="G4" s="18" t="s">
        <v>18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7.25" customHeight="1" x14ac:dyDescent="0.2">
      <c r="A5" s="4">
        <v>3</v>
      </c>
      <c r="B5" s="4">
        <v>4</v>
      </c>
      <c r="C5" s="4">
        <v>5</v>
      </c>
      <c r="D5" s="19" t="str">
        <f t="shared" ref="D5:D8" si="0">IF(A5+B5&gt;C5,"ir","nav")</f>
        <v>ir</v>
      </c>
      <c r="E5" s="19" t="str">
        <f t="shared" ref="E5:E8" si="1">IF(A5+C5&gt;B5,"ir","nav")</f>
        <v>ir</v>
      </c>
      <c r="F5" s="19" t="str">
        <f t="shared" ref="F5:F8" si="2">IF(B5+C5&gt;A5,"ir","nav")</f>
        <v>ir</v>
      </c>
      <c r="G5" s="5" t="b">
        <f t="array" ref="G5">AND(EXACT(D5:F5,D5))</f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7.25" customHeight="1" x14ac:dyDescent="0.2">
      <c r="A6" s="4">
        <v>4</v>
      </c>
      <c r="B6" s="4">
        <v>2</v>
      </c>
      <c r="C6" s="4">
        <v>2</v>
      </c>
      <c r="D6" s="19" t="str">
        <f t="shared" si="0"/>
        <v>ir</v>
      </c>
      <c r="E6" s="19" t="str">
        <f t="shared" si="1"/>
        <v>ir</v>
      </c>
      <c r="F6" s="19" t="str">
        <f t="shared" si="2"/>
        <v>nav</v>
      </c>
      <c r="G6" s="5" t="b">
        <f t="array" ref="G6">AND(EXACT(D6:F6,D6))</f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7.25" customHeight="1" x14ac:dyDescent="0.2">
      <c r="A7" s="4">
        <v>1</v>
      </c>
      <c r="B7" s="4">
        <v>2</v>
      </c>
      <c r="C7" s="4">
        <v>3</v>
      </c>
      <c r="D7" s="19" t="str">
        <f t="shared" si="0"/>
        <v>nav</v>
      </c>
      <c r="E7" s="19" t="str">
        <f t="shared" si="1"/>
        <v>ir</v>
      </c>
      <c r="F7" s="19" t="str">
        <f t="shared" si="2"/>
        <v>ir</v>
      </c>
      <c r="G7" s="5" t="b">
        <f t="array" ref="G7">AND(EXACT(D7:F7,D7))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7.25" customHeight="1" x14ac:dyDescent="0.2">
      <c r="A8" s="4">
        <v>20</v>
      </c>
      <c r="B8" s="4">
        <v>14</v>
      </c>
      <c r="C8" s="4">
        <v>12</v>
      </c>
      <c r="D8" s="19" t="str">
        <f t="shared" si="0"/>
        <v>ir</v>
      </c>
      <c r="E8" s="19" t="str">
        <f t="shared" si="1"/>
        <v>ir</v>
      </c>
      <c r="F8" s="19" t="str">
        <f t="shared" si="2"/>
        <v>ir</v>
      </c>
      <c r="G8" s="5" t="b">
        <f t="array" ref="G8">AND(EXACT(D8:F8,D8))</f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7.25" customHeight="1" x14ac:dyDescent="0.2">
      <c r="A9" s="2"/>
      <c r="B9" s="2"/>
      <c r="C9" s="2"/>
      <c r="D9" s="2"/>
      <c r="E9" s="2"/>
      <c r="F9" s="2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7.25" customHeight="1" x14ac:dyDescent="0.2">
      <c r="A10" s="37"/>
      <c r="B10" s="33"/>
      <c r="C10" s="33"/>
      <c r="D10" s="33"/>
      <c r="E10" s="2"/>
      <c r="F10" s="2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7.25" customHeight="1" x14ac:dyDescent="0.2">
      <c r="A11" s="37"/>
      <c r="B11" s="33"/>
      <c r="C11" s="37"/>
      <c r="D11" s="33"/>
      <c r="E11" s="2"/>
      <c r="F11" s="2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7.25" customHeight="1" x14ac:dyDescent="0.2">
      <c r="A12" s="2"/>
      <c r="B12" s="2"/>
      <c r="C12" s="2"/>
      <c r="D12" s="2"/>
      <c r="E12" s="2"/>
      <c r="F12" s="2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7.25" customHeight="1" x14ac:dyDescent="0.2">
      <c r="A13" s="2"/>
      <c r="B13" s="2"/>
      <c r="C13" s="2"/>
      <c r="D13" s="2"/>
      <c r="E13" s="2"/>
      <c r="F13" s="2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7.25" customHeight="1" x14ac:dyDescent="0.2">
      <c r="A14" s="2"/>
      <c r="B14" s="2"/>
      <c r="C14" s="2"/>
      <c r="D14" s="2"/>
      <c r="E14" s="2"/>
      <c r="F14" s="2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7.25" customHeight="1" x14ac:dyDescent="0.2">
      <c r="A15" s="2"/>
      <c r="B15" s="2"/>
      <c r="C15" s="2"/>
      <c r="D15" s="2"/>
      <c r="E15" s="2"/>
      <c r="F15" s="2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7.25" customHeight="1" x14ac:dyDescent="0.2">
      <c r="A16" s="2"/>
      <c r="B16" s="2"/>
      <c r="C16" s="2"/>
      <c r="D16" s="2"/>
      <c r="E16" s="2"/>
      <c r="F16" s="2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7.25" customHeight="1" x14ac:dyDescent="0.2">
      <c r="A17" s="2"/>
      <c r="B17" s="2"/>
      <c r="C17" s="2"/>
      <c r="D17" s="2"/>
      <c r="E17" s="2"/>
      <c r="F17" s="2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7.25" customHeight="1" x14ac:dyDescent="0.2">
      <c r="A18" s="2"/>
      <c r="B18" s="2"/>
      <c r="C18" s="2"/>
      <c r="D18" s="2"/>
      <c r="E18" s="2"/>
      <c r="F18" s="2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7.25" customHeight="1" x14ac:dyDescent="0.2">
      <c r="A19" s="2"/>
      <c r="B19" s="2"/>
      <c r="C19" s="2"/>
      <c r="D19" s="2"/>
      <c r="E19" s="2"/>
      <c r="F19" s="2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7.25" customHeight="1" x14ac:dyDescent="0.2">
      <c r="A20" s="2"/>
      <c r="B20" s="2"/>
      <c r="C20" s="2"/>
      <c r="D20" s="2"/>
      <c r="E20" s="2"/>
      <c r="F20" s="2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7.25" customHeight="1" x14ac:dyDescent="0.2">
      <c r="A21" s="2"/>
      <c r="B21" s="2"/>
      <c r="C21" s="2"/>
      <c r="D21" s="2"/>
      <c r="E21" s="2"/>
      <c r="F21" s="2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7.25" customHeight="1" x14ac:dyDescent="0.2">
      <c r="A22" s="2"/>
      <c r="B22" s="2"/>
      <c r="C22" s="2"/>
      <c r="D22" s="2"/>
      <c r="E22" s="2"/>
      <c r="F22" s="2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7.25" customHeight="1" x14ac:dyDescent="0.2">
      <c r="A23" s="2"/>
      <c r="B23" s="2"/>
      <c r="C23" s="2"/>
      <c r="D23" s="2"/>
      <c r="E23" s="2"/>
      <c r="F23" s="2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7.25" customHeight="1" x14ac:dyDescent="0.2">
      <c r="A24" s="2"/>
      <c r="B24" s="2"/>
      <c r="C24" s="2"/>
      <c r="D24" s="2"/>
      <c r="E24" s="2"/>
      <c r="F24" s="2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7.25" customHeight="1" x14ac:dyDescent="0.2">
      <c r="A25" s="2"/>
      <c r="B25" s="2"/>
      <c r="C25" s="2"/>
      <c r="D25" s="2"/>
      <c r="E25" s="2"/>
      <c r="F25" s="2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7.25" customHeight="1" x14ac:dyDescent="0.2">
      <c r="A26" s="2"/>
      <c r="B26" s="2"/>
      <c r="C26" s="2"/>
      <c r="D26" s="2"/>
      <c r="E26" s="2"/>
      <c r="F26" s="2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7.25" customHeight="1" x14ac:dyDescent="0.2">
      <c r="A27" s="2"/>
      <c r="B27" s="2"/>
      <c r="C27" s="2"/>
      <c r="D27" s="2"/>
      <c r="E27" s="2"/>
      <c r="F27" s="2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7.25" customHeight="1" x14ac:dyDescent="0.2">
      <c r="A28" s="2"/>
      <c r="B28" s="2"/>
      <c r="C28" s="2"/>
      <c r="D28" s="2"/>
      <c r="E28" s="2"/>
      <c r="F28" s="2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7.25" customHeight="1" x14ac:dyDescent="0.2">
      <c r="A29" s="2"/>
      <c r="B29" s="2"/>
      <c r="C29" s="2"/>
      <c r="D29" s="2"/>
      <c r="E29" s="2"/>
      <c r="F29" s="2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7.25" customHeight="1" x14ac:dyDescent="0.2">
      <c r="A30" s="2"/>
      <c r="B30" s="2"/>
      <c r="C30" s="2"/>
      <c r="D30" s="2"/>
      <c r="E30" s="2"/>
      <c r="F30" s="2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7.25" customHeight="1" x14ac:dyDescent="0.2">
      <c r="A31" s="2"/>
      <c r="B31" s="2"/>
      <c r="C31" s="2"/>
      <c r="D31" s="2"/>
      <c r="E31" s="2"/>
      <c r="F31" s="2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7.25" customHeight="1" x14ac:dyDescent="0.2">
      <c r="A32" s="2"/>
      <c r="B32" s="2"/>
      <c r="C32" s="2"/>
      <c r="D32" s="2"/>
      <c r="E32" s="2"/>
      <c r="F32" s="2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7.25" customHeight="1" x14ac:dyDescent="0.2">
      <c r="A33" s="2"/>
      <c r="B33" s="2"/>
      <c r="C33" s="2"/>
      <c r="D33" s="2"/>
      <c r="E33" s="2"/>
      <c r="F33" s="2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7.25" customHeight="1" x14ac:dyDescent="0.2">
      <c r="A34" s="2"/>
      <c r="B34" s="2"/>
      <c r="C34" s="2"/>
      <c r="D34" s="2"/>
      <c r="E34" s="2"/>
      <c r="F34" s="2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7.25" customHeight="1" x14ac:dyDescent="0.2">
      <c r="A35" s="2"/>
      <c r="B35" s="2"/>
      <c r="C35" s="2"/>
      <c r="D35" s="2"/>
      <c r="E35" s="2"/>
      <c r="F35" s="2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7.25" customHeight="1" x14ac:dyDescent="0.2">
      <c r="A36" s="2"/>
      <c r="B36" s="2"/>
      <c r="C36" s="2"/>
      <c r="D36" s="2"/>
      <c r="E36" s="2"/>
      <c r="F36" s="2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7.25" customHeight="1" x14ac:dyDescent="0.2">
      <c r="A37" s="2"/>
      <c r="B37" s="2"/>
      <c r="C37" s="2"/>
      <c r="D37" s="2"/>
      <c r="E37" s="2"/>
      <c r="F37" s="2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7.25" customHeight="1" x14ac:dyDescent="0.2">
      <c r="A38" s="2"/>
      <c r="B38" s="2"/>
      <c r="C38" s="2"/>
      <c r="D38" s="2"/>
      <c r="E38" s="2"/>
      <c r="F38" s="2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7.25" customHeight="1" x14ac:dyDescent="0.2">
      <c r="A39" s="2"/>
      <c r="B39" s="2"/>
      <c r="C39" s="2"/>
      <c r="D39" s="2"/>
      <c r="E39" s="2"/>
      <c r="F39" s="2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7.25" customHeight="1" x14ac:dyDescent="0.2">
      <c r="A40" s="2"/>
      <c r="B40" s="2"/>
      <c r="C40" s="2"/>
      <c r="D40" s="2"/>
      <c r="E40" s="2"/>
      <c r="F40" s="2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7.25" customHeight="1" x14ac:dyDescent="0.2">
      <c r="A41" s="2"/>
      <c r="B41" s="2"/>
      <c r="C41" s="2"/>
      <c r="D41" s="2"/>
      <c r="E41" s="2"/>
      <c r="F41" s="2"/>
      <c r="G41" s="1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7.25" customHeight="1" x14ac:dyDescent="0.2">
      <c r="A42" s="2"/>
      <c r="B42" s="2"/>
      <c r="C42" s="2"/>
      <c r="D42" s="2"/>
      <c r="E42" s="2"/>
      <c r="F42" s="2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7.25" customHeight="1" x14ac:dyDescent="0.2">
      <c r="A43" s="2"/>
      <c r="B43" s="2"/>
      <c r="C43" s="2"/>
      <c r="D43" s="2"/>
      <c r="E43" s="2"/>
      <c r="F43" s="2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7.25" customHeight="1" x14ac:dyDescent="0.2">
      <c r="A44" s="2"/>
      <c r="B44" s="2"/>
      <c r="C44" s="2"/>
      <c r="D44" s="2"/>
      <c r="E44" s="2"/>
      <c r="F44" s="2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7.25" customHeight="1" x14ac:dyDescent="0.2">
      <c r="A45" s="2"/>
      <c r="B45" s="2"/>
      <c r="C45" s="2"/>
      <c r="D45" s="2"/>
      <c r="E45" s="2"/>
      <c r="F45" s="2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7.25" customHeight="1" x14ac:dyDescent="0.2">
      <c r="A46" s="2"/>
      <c r="B46" s="2"/>
      <c r="C46" s="2"/>
      <c r="D46" s="2"/>
      <c r="E46" s="2"/>
      <c r="F46" s="2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7.25" customHeight="1" x14ac:dyDescent="0.2">
      <c r="A47" s="2"/>
      <c r="B47" s="2"/>
      <c r="C47" s="2"/>
      <c r="D47" s="2"/>
      <c r="E47" s="2"/>
      <c r="F47" s="2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7.25" customHeight="1" x14ac:dyDescent="0.2">
      <c r="A48" s="2"/>
      <c r="B48" s="2"/>
      <c r="C48" s="2"/>
      <c r="D48" s="2"/>
      <c r="E48" s="2"/>
      <c r="F48" s="2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7.25" customHeight="1" x14ac:dyDescent="0.2">
      <c r="A49" s="2"/>
      <c r="B49" s="2"/>
      <c r="C49" s="2"/>
      <c r="D49" s="2"/>
      <c r="E49" s="2"/>
      <c r="F49" s="2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7.25" customHeight="1" x14ac:dyDescent="0.2">
      <c r="A50" s="2"/>
      <c r="B50" s="2"/>
      <c r="C50" s="2"/>
      <c r="D50" s="2"/>
      <c r="E50" s="2"/>
      <c r="F50" s="2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7.25" customHeight="1" x14ac:dyDescent="0.2">
      <c r="A51" s="2"/>
      <c r="B51" s="2"/>
      <c r="C51" s="2"/>
      <c r="D51" s="2"/>
      <c r="E51" s="2"/>
      <c r="F51" s="2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7.25" customHeight="1" x14ac:dyDescent="0.2">
      <c r="A52" s="2"/>
      <c r="B52" s="2"/>
      <c r="C52" s="2"/>
      <c r="D52" s="2"/>
      <c r="E52" s="2"/>
      <c r="F52" s="2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7.25" customHeight="1" x14ac:dyDescent="0.2">
      <c r="A53" s="2"/>
      <c r="B53" s="2"/>
      <c r="C53" s="2"/>
      <c r="D53" s="2"/>
      <c r="E53" s="2"/>
      <c r="F53" s="2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7.25" customHeight="1" x14ac:dyDescent="0.2">
      <c r="A54" s="2"/>
      <c r="B54" s="2"/>
      <c r="C54" s="2"/>
      <c r="D54" s="2"/>
      <c r="E54" s="2"/>
      <c r="F54" s="2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7.25" customHeight="1" x14ac:dyDescent="0.2">
      <c r="A55" s="2"/>
      <c r="B55" s="2"/>
      <c r="C55" s="2"/>
      <c r="D55" s="2"/>
      <c r="E55" s="2"/>
      <c r="F55" s="2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7.25" customHeight="1" x14ac:dyDescent="0.2">
      <c r="A56" s="2"/>
      <c r="B56" s="2"/>
      <c r="C56" s="2"/>
      <c r="D56" s="2"/>
      <c r="E56" s="2"/>
      <c r="F56" s="2"/>
      <c r="G56" s="1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7.25" customHeight="1" x14ac:dyDescent="0.2">
      <c r="A57" s="2"/>
      <c r="B57" s="2"/>
      <c r="C57" s="2"/>
      <c r="D57" s="2"/>
      <c r="E57" s="2"/>
      <c r="F57" s="2"/>
      <c r="G57" s="1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7.25" customHeight="1" x14ac:dyDescent="0.2">
      <c r="A58" s="2"/>
      <c r="B58" s="2"/>
      <c r="C58" s="2"/>
      <c r="D58" s="2"/>
      <c r="E58" s="2"/>
      <c r="F58" s="2"/>
      <c r="G58" s="1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7.25" customHeight="1" x14ac:dyDescent="0.2">
      <c r="A59" s="2"/>
      <c r="B59" s="2"/>
      <c r="C59" s="2"/>
      <c r="D59" s="2"/>
      <c r="E59" s="2"/>
      <c r="F59" s="2"/>
      <c r="G59" s="1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7.25" customHeight="1" x14ac:dyDescent="0.2">
      <c r="A60" s="2"/>
      <c r="B60" s="2"/>
      <c r="C60" s="2"/>
      <c r="D60" s="2"/>
      <c r="E60" s="2"/>
      <c r="F60" s="2"/>
      <c r="G60" s="1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7.25" customHeight="1" x14ac:dyDescent="0.2">
      <c r="A61" s="2"/>
      <c r="B61" s="2"/>
      <c r="C61" s="2"/>
      <c r="D61" s="2"/>
      <c r="E61" s="2"/>
      <c r="F61" s="2"/>
      <c r="G61" s="1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7.25" customHeight="1" x14ac:dyDescent="0.2">
      <c r="A62" s="2"/>
      <c r="B62" s="2"/>
      <c r="C62" s="2"/>
      <c r="D62" s="2"/>
      <c r="E62" s="2"/>
      <c r="F62" s="2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7.25" customHeight="1" x14ac:dyDescent="0.2">
      <c r="A63" s="2"/>
      <c r="B63" s="2"/>
      <c r="C63" s="2"/>
      <c r="D63" s="2"/>
      <c r="E63" s="2"/>
      <c r="F63" s="2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7.25" customHeight="1" x14ac:dyDescent="0.2">
      <c r="A64" s="2"/>
      <c r="B64" s="2"/>
      <c r="C64" s="2"/>
      <c r="D64" s="2"/>
      <c r="E64" s="2"/>
      <c r="F64" s="2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7.25" customHeight="1" x14ac:dyDescent="0.2">
      <c r="A65" s="2"/>
      <c r="B65" s="2"/>
      <c r="C65" s="2"/>
      <c r="D65" s="2"/>
      <c r="E65" s="2"/>
      <c r="F65" s="2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7.25" customHeight="1" x14ac:dyDescent="0.2">
      <c r="A66" s="2"/>
      <c r="B66" s="2"/>
      <c r="C66" s="2"/>
      <c r="D66" s="2"/>
      <c r="E66" s="2"/>
      <c r="F66" s="2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7.25" customHeight="1" x14ac:dyDescent="0.2">
      <c r="A67" s="2"/>
      <c r="B67" s="2"/>
      <c r="C67" s="2"/>
      <c r="D67" s="2"/>
      <c r="E67" s="2"/>
      <c r="F67" s="2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7.25" customHeight="1" x14ac:dyDescent="0.2">
      <c r="A68" s="2"/>
      <c r="B68" s="2"/>
      <c r="C68" s="2"/>
      <c r="D68" s="2"/>
      <c r="E68" s="2"/>
      <c r="F68" s="2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7.25" customHeight="1" x14ac:dyDescent="0.2">
      <c r="A69" s="2"/>
      <c r="B69" s="2"/>
      <c r="C69" s="2"/>
      <c r="D69" s="2"/>
      <c r="E69" s="2"/>
      <c r="F69" s="2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7.25" customHeight="1" x14ac:dyDescent="0.2">
      <c r="A70" s="2"/>
      <c r="B70" s="2"/>
      <c r="C70" s="2"/>
      <c r="D70" s="2"/>
      <c r="E70" s="2"/>
      <c r="F70" s="2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7.25" customHeight="1" x14ac:dyDescent="0.2">
      <c r="A71" s="2"/>
      <c r="B71" s="2"/>
      <c r="C71" s="2"/>
      <c r="D71" s="2"/>
      <c r="E71" s="2"/>
      <c r="F71" s="2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7.25" customHeight="1" x14ac:dyDescent="0.2">
      <c r="A72" s="2"/>
      <c r="B72" s="2"/>
      <c r="C72" s="2"/>
      <c r="D72" s="2"/>
      <c r="E72" s="2"/>
      <c r="F72" s="2"/>
      <c r="G72" s="1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7.25" customHeight="1" x14ac:dyDescent="0.2">
      <c r="A73" s="2"/>
      <c r="B73" s="2"/>
      <c r="C73" s="2"/>
      <c r="D73" s="2"/>
      <c r="E73" s="2"/>
      <c r="F73" s="2"/>
      <c r="G73" s="1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7.25" customHeight="1" x14ac:dyDescent="0.2">
      <c r="A74" s="2"/>
      <c r="B74" s="2"/>
      <c r="C74" s="2"/>
      <c r="D74" s="2"/>
      <c r="E74" s="2"/>
      <c r="F74" s="2"/>
      <c r="G74" s="1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7.25" customHeight="1" x14ac:dyDescent="0.2">
      <c r="A75" s="2"/>
      <c r="B75" s="2"/>
      <c r="C75" s="2"/>
      <c r="D75" s="2"/>
      <c r="E75" s="2"/>
      <c r="F75" s="2"/>
      <c r="G75" s="1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7.25" customHeight="1" x14ac:dyDescent="0.2">
      <c r="A76" s="2"/>
      <c r="B76" s="2"/>
      <c r="C76" s="2"/>
      <c r="D76" s="2"/>
      <c r="E76" s="2"/>
      <c r="F76" s="2"/>
      <c r="G76" s="1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7.25" customHeight="1" x14ac:dyDescent="0.2">
      <c r="A77" s="2"/>
      <c r="B77" s="2"/>
      <c r="C77" s="2"/>
      <c r="D77" s="2"/>
      <c r="E77" s="2"/>
      <c r="F77" s="2"/>
      <c r="G77" s="1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7.25" customHeight="1" x14ac:dyDescent="0.2">
      <c r="A78" s="2"/>
      <c r="B78" s="2"/>
      <c r="C78" s="2"/>
      <c r="D78" s="2"/>
      <c r="E78" s="2"/>
      <c r="F78" s="2"/>
      <c r="G78" s="1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7.25" customHeight="1" x14ac:dyDescent="0.2">
      <c r="A79" s="2"/>
      <c r="B79" s="2"/>
      <c r="C79" s="2"/>
      <c r="D79" s="2"/>
      <c r="E79" s="2"/>
      <c r="F79" s="2"/>
      <c r="G79" s="1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7.25" customHeight="1" x14ac:dyDescent="0.2">
      <c r="A80" s="2"/>
      <c r="B80" s="2"/>
      <c r="C80" s="2"/>
      <c r="D80" s="2"/>
      <c r="E80" s="2"/>
      <c r="F80" s="2"/>
      <c r="G80" s="1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7.25" customHeight="1" x14ac:dyDescent="0.2">
      <c r="A81" s="2"/>
      <c r="B81" s="2"/>
      <c r="C81" s="2"/>
      <c r="D81" s="2"/>
      <c r="E81" s="2"/>
      <c r="F81" s="2"/>
      <c r="G81" s="1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7.25" customHeight="1" x14ac:dyDescent="0.2">
      <c r="A82" s="2"/>
      <c r="B82" s="2"/>
      <c r="C82" s="2"/>
      <c r="D82" s="2"/>
      <c r="E82" s="2"/>
      <c r="F82" s="2"/>
      <c r="G82" s="1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7.25" customHeight="1" x14ac:dyDescent="0.2">
      <c r="A83" s="2"/>
      <c r="B83" s="2"/>
      <c r="C83" s="2"/>
      <c r="D83" s="2"/>
      <c r="E83" s="2"/>
      <c r="F83" s="2"/>
      <c r="G83" s="1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7.25" customHeight="1" x14ac:dyDescent="0.2">
      <c r="A84" s="2"/>
      <c r="B84" s="2"/>
      <c r="C84" s="2"/>
      <c r="D84" s="2"/>
      <c r="E84" s="2"/>
      <c r="F84" s="2"/>
      <c r="G84" s="1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7.25" customHeight="1" x14ac:dyDescent="0.2">
      <c r="A85" s="2"/>
      <c r="B85" s="2"/>
      <c r="C85" s="2"/>
      <c r="D85" s="2"/>
      <c r="E85" s="2"/>
      <c r="F85" s="2"/>
      <c r="G85" s="1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7.25" customHeight="1" x14ac:dyDescent="0.2">
      <c r="A86" s="2"/>
      <c r="B86" s="2"/>
      <c r="C86" s="2"/>
      <c r="D86" s="2"/>
      <c r="E86" s="2"/>
      <c r="F86" s="2"/>
      <c r="G86" s="1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7.25" customHeight="1" x14ac:dyDescent="0.2">
      <c r="A87" s="2"/>
      <c r="B87" s="2"/>
      <c r="C87" s="2"/>
      <c r="D87" s="2"/>
      <c r="E87" s="2"/>
      <c r="F87" s="2"/>
      <c r="G87" s="1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7.25" customHeight="1" x14ac:dyDescent="0.2">
      <c r="A88" s="2"/>
      <c r="B88" s="2"/>
      <c r="C88" s="2"/>
      <c r="D88" s="2"/>
      <c r="E88" s="2"/>
      <c r="F88" s="2"/>
      <c r="G88" s="1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7.25" customHeight="1" x14ac:dyDescent="0.2">
      <c r="A89" s="2"/>
      <c r="B89" s="2"/>
      <c r="C89" s="2"/>
      <c r="D89" s="2"/>
      <c r="E89" s="2"/>
      <c r="F89" s="2"/>
      <c r="G89" s="1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7.25" customHeight="1" x14ac:dyDescent="0.2">
      <c r="A90" s="2"/>
      <c r="B90" s="2"/>
      <c r="C90" s="2"/>
      <c r="D90" s="2"/>
      <c r="E90" s="2"/>
      <c r="F90" s="2"/>
      <c r="G90" s="1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7.25" customHeight="1" x14ac:dyDescent="0.2">
      <c r="A91" s="2"/>
      <c r="B91" s="2"/>
      <c r="C91" s="2"/>
      <c r="D91" s="2"/>
      <c r="E91" s="2"/>
      <c r="F91" s="2"/>
      <c r="G91" s="1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7.25" customHeight="1" x14ac:dyDescent="0.2">
      <c r="A92" s="2"/>
      <c r="B92" s="2"/>
      <c r="C92" s="2"/>
      <c r="D92" s="2"/>
      <c r="E92" s="2"/>
      <c r="F92" s="2"/>
      <c r="G92" s="1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7.25" customHeight="1" x14ac:dyDescent="0.2">
      <c r="A93" s="2"/>
      <c r="B93" s="2"/>
      <c r="C93" s="2"/>
      <c r="D93" s="2"/>
      <c r="E93" s="2"/>
      <c r="F93" s="2"/>
      <c r="G93" s="1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7.25" customHeight="1" x14ac:dyDescent="0.2">
      <c r="A94" s="2"/>
      <c r="B94" s="2"/>
      <c r="C94" s="2"/>
      <c r="D94" s="2"/>
      <c r="E94" s="2"/>
      <c r="F94" s="2"/>
      <c r="G94" s="1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7.25" customHeight="1" x14ac:dyDescent="0.2">
      <c r="A95" s="2"/>
      <c r="B95" s="2"/>
      <c r="C95" s="2"/>
      <c r="D95" s="2"/>
      <c r="E95" s="2"/>
      <c r="F95" s="2"/>
      <c r="G95" s="1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7.25" customHeight="1" x14ac:dyDescent="0.2">
      <c r="A96" s="2"/>
      <c r="B96" s="2"/>
      <c r="C96" s="2"/>
      <c r="D96" s="2"/>
      <c r="E96" s="2"/>
      <c r="F96" s="2"/>
      <c r="G96" s="1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7.25" customHeight="1" x14ac:dyDescent="0.2">
      <c r="A97" s="2"/>
      <c r="B97" s="2"/>
      <c r="C97" s="2"/>
      <c r="D97" s="2"/>
      <c r="E97" s="2"/>
      <c r="F97" s="2"/>
      <c r="G97" s="1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7.25" customHeight="1" x14ac:dyDescent="0.2">
      <c r="A98" s="2"/>
      <c r="B98" s="2"/>
      <c r="C98" s="2"/>
      <c r="D98" s="2"/>
      <c r="E98" s="2"/>
      <c r="F98" s="2"/>
      <c r="G98" s="1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7.25" customHeight="1" x14ac:dyDescent="0.2">
      <c r="A99" s="2"/>
      <c r="B99" s="2"/>
      <c r="C99" s="2"/>
      <c r="D99" s="2"/>
      <c r="E99" s="2"/>
      <c r="F99" s="2"/>
      <c r="G99" s="1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7.25" customHeight="1" x14ac:dyDescent="0.2">
      <c r="A100" s="2"/>
      <c r="B100" s="2"/>
      <c r="C100" s="2"/>
      <c r="D100" s="2"/>
      <c r="E100" s="2"/>
      <c r="F100" s="2"/>
      <c r="G100" s="1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</sheetData>
  <mergeCells count="7">
    <mergeCell ref="K1:V1"/>
    <mergeCell ref="A10:D10"/>
    <mergeCell ref="A11:B11"/>
    <mergeCell ref="C11:D11"/>
    <mergeCell ref="A3:C3"/>
    <mergeCell ref="D3:F3"/>
    <mergeCell ref="A1:H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"/>
  <sheetViews>
    <sheetView workbookViewId="0"/>
  </sheetViews>
  <sheetFormatPr defaultColWidth="14.390625" defaultRowHeight="15" customHeight="1" x14ac:dyDescent="0.2"/>
  <cols>
    <col min="1" max="1" width="16.94921875" customWidth="1"/>
    <col min="2" max="2" width="15.19921875" customWidth="1"/>
    <col min="3" max="3" width="11.56640625" customWidth="1"/>
    <col min="4" max="4" width="16.94921875" customWidth="1"/>
    <col min="5" max="5" width="21.7890625" customWidth="1"/>
    <col min="6" max="6" width="13.046875" customWidth="1"/>
    <col min="7" max="7" width="9.55078125" customWidth="1"/>
    <col min="8" max="8" width="7.12890625" customWidth="1"/>
    <col min="9" max="9" width="9.55078125" customWidth="1"/>
    <col min="10" max="10" width="9.68359375" customWidth="1"/>
    <col min="11" max="11" width="7.12890625" customWidth="1"/>
    <col min="12" max="12" width="7.26171875" customWidth="1"/>
    <col min="13" max="13" width="8.875" customWidth="1"/>
    <col min="14" max="14" width="2.15234375" customWidth="1"/>
    <col min="15" max="16" width="8.875" customWidth="1"/>
    <col min="17" max="17" width="10.4921875" customWidth="1"/>
    <col min="18" max="18" width="2.5546875" customWidth="1"/>
    <col min="19" max="20" width="8.875" customWidth="1"/>
    <col min="21" max="21" width="2.41796875" customWidth="1"/>
    <col min="22" max="22" width="12.23828125" customWidth="1"/>
  </cols>
  <sheetData>
    <row r="1" spans="1:22" ht="36" customHeight="1" x14ac:dyDescent="0.2">
      <c r="A1" s="30" t="s">
        <v>19</v>
      </c>
      <c r="B1" s="31"/>
      <c r="C1" s="31"/>
      <c r="D1" s="31"/>
      <c r="E1" s="31"/>
      <c r="F1" s="31"/>
      <c r="G1" s="31"/>
      <c r="H1" s="31"/>
      <c r="I1" s="1"/>
      <c r="J1" s="1"/>
      <c r="K1" s="32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17.2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48.75" customHeight="1" x14ac:dyDescent="0.2">
      <c r="A3" s="20" t="s">
        <v>20</v>
      </c>
      <c r="B3" s="20" t="s">
        <v>21</v>
      </c>
      <c r="C3" s="20" t="s">
        <v>22</v>
      </c>
      <c r="D3" s="20" t="s">
        <v>23</v>
      </c>
      <c r="E3" s="20" t="s">
        <v>24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1:22" ht="17.25" customHeight="1" x14ac:dyDescent="0.2">
      <c r="A4" s="22" t="s">
        <v>25</v>
      </c>
      <c r="B4" s="4">
        <f t="shared" ref="B4:B15" si="0">LEN(A4)</f>
        <v>4</v>
      </c>
      <c r="C4" s="4" t="str">
        <f t="shared" ref="C4:C15" si="1">RIGHT(A4,1)</f>
        <v>a</v>
      </c>
      <c r="D4" s="22" t="str">
        <f t="shared" ref="D4:D15" si="2">LEFT(A4,B4-1)</f>
        <v>Aij</v>
      </c>
      <c r="E4" s="19" t="str">
        <f t="shared" ref="E4:E15" si="3">IF(OR(C4="s",C4="š"),D4,A4)</f>
        <v>Aija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7.25" customHeight="1" x14ac:dyDescent="0.2">
      <c r="A5" s="22" t="s">
        <v>26</v>
      </c>
      <c r="B5" s="4">
        <f t="shared" si="0"/>
        <v>4</v>
      </c>
      <c r="C5" s="4" t="str">
        <f t="shared" si="1"/>
        <v>e</v>
      </c>
      <c r="D5" s="22" t="str">
        <f t="shared" si="2"/>
        <v>Dac</v>
      </c>
      <c r="E5" s="19" t="str">
        <f t="shared" si="3"/>
        <v>Dace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7.25" customHeight="1" x14ac:dyDescent="0.2">
      <c r="A6" s="22" t="s">
        <v>27</v>
      </c>
      <c r="B6" s="4">
        <f t="shared" si="0"/>
        <v>5</v>
      </c>
      <c r="C6" s="4" t="str">
        <f t="shared" si="1"/>
        <v>s</v>
      </c>
      <c r="D6" s="22" t="str">
        <f t="shared" si="2"/>
        <v>Jāni</v>
      </c>
      <c r="E6" s="19" t="str">
        <f t="shared" si="3"/>
        <v>Jāni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7.25" customHeight="1" x14ac:dyDescent="0.2">
      <c r="A7" s="22" t="s">
        <v>28</v>
      </c>
      <c r="B7" s="4">
        <f t="shared" si="0"/>
        <v>7</v>
      </c>
      <c r="C7" s="4" t="str">
        <f t="shared" si="1"/>
        <v>š</v>
      </c>
      <c r="D7" s="22" t="str">
        <f t="shared" si="2"/>
        <v>Mārtiņ</v>
      </c>
      <c r="E7" s="19" t="str">
        <f t="shared" si="3"/>
        <v>Mārtiņ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7.25" customHeight="1" x14ac:dyDescent="0.2">
      <c r="A8" s="22" t="s">
        <v>29</v>
      </c>
      <c r="B8" s="4">
        <f t="shared" si="0"/>
        <v>3</v>
      </c>
      <c r="C8" s="4" t="str">
        <f t="shared" si="1"/>
        <v>o</v>
      </c>
      <c r="D8" s="22" t="str">
        <f t="shared" si="2"/>
        <v>Iv</v>
      </c>
      <c r="E8" s="19" t="str">
        <f t="shared" si="3"/>
        <v>Ivo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7.25" customHeight="1" x14ac:dyDescent="0.2">
      <c r="A9" s="22" t="s">
        <v>30</v>
      </c>
      <c r="B9" s="4">
        <f t="shared" si="0"/>
        <v>6</v>
      </c>
      <c r="C9" s="4" t="str">
        <f t="shared" si="1"/>
        <v>s</v>
      </c>
      <c r="D9" s="22" t="str">
        <f t="shared" si="2"/>
        <v>Sandi</v>
      </c>
      <c r="E9" s="19" t="str">
        <f t="shared" si="3"/>
        <v>Sandi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7.25" customHeight="1" x14ac:dyDescent="0.2">
      <c r="A10" s="22" t="s">
        <v>31</v>
      </c>
      <c r="B10" s="4">
        <f t="shared" si="0"/>
        <v>5</v>
      </c>
      <c r="C10" s="4" t="str">
        <f t="shared" si="1"/>
        <v>s</v>
      </c>
      <c r="D10" s="22" t="str">
        <f t="shared" si="2"/>
        <v>Dāvi</v>
      </c>
      <c r="E10" s="19" t="str">
        <f t="shared" si="3"/>
        <v>Dāvi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7.25" customHeight="1" x14ac:dyDescent="0.2">
      <c r="A11" s="22" t="s">
        <v>32</v>
      </c>
      <c r="B11" s="4">
        <f t="shared" si="0"/>
        <v>6</v>
      </c>
      <c r="C11" s="4" t="str">
        <f t="shared" si="1"/>
        <v>s</v>
      </c>
      <c r="D11" s="22" t="str">
        <f t="shared" si="2"/>
        <v>Kārli</v>
      </c>
      <c r="E11" s="19" t="str">
        <f t="shared" si="3"/>
        <v>Kārli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7.25" customHeight="1" x14ac:dyDescent="0.2">
      <c r="A12" s="22" t="s">
        <v>33</v>
      </c>
      <c r="B12" s="4">
        <f t="shared" si="0"/>
        <v>7</v>
      </c>
      <c r="C12" s="4" t="str">
        <f t="shared" si="1"/>
        <v>s</v>
      </c>
      <c r="D12" s="22" t="str">
        <f t="shared" si="2"/>
        <v>Markus</v>
      </c>
      <c r="E12" s="19" t="str">
        <f t="shared" si="3"/>
        <v>Markus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7.25" customHeight="1" x14ac:dyDescent="0.2">
      <c r="A13" s="22" t="s">
        <v>34</v>
      </c>
      <c r="B13" s="4">
        <f t="shared" si="0"/>
        <v>6</v>
      </c>
      <c r="C13" s="4" t="str">
        <f t="shared" si="1"/>
        <v>s</v>
      </c>
      <c r="D13" s="22" t="str">
        <f t="shared" si="2"/>
        <v>Mārci</v>
      </c>
      <c r="E13" s="19" t="str">
        <f t="shared" si="3"/>
        <v>Mārci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7.25" customHeight="1" x14ac:dyDescent="0.2">
      <c r="A14" s="22" t="s">
        <v>35</v>
      </c>
      <c r="B14" s="4">
        <f t="shared" si="0"/>
        <v>5</v>
      </c>
      <c r="C14" s="4" t="str">
        <f t="shared" si="1"/>
        <v>s</v>
      </c>
      <c r="D14" s="22" t="str">
        <f t="shared" si="2"/>
        <v>Miku</v>
      </c>
      <c r="E14" s="19" t="str">
        <f t="shared" si="3"/>
        <v>Miku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7.25" customHeight="1" x14ac:dyDescent="0.2">
      <c r="A15" s="22" t="s">
        <v>36</v>
      </c>
      <c r="B15" s="4">
        <f t="shared" si="0"/>
        <v>5</v>
      </c>
      <c r="C15" s="4" t="str">
        <f t="shared" si="1"/>
        <v>s</v>
      </c>
      <c r="D15" s="22" t="str">
        <f t="shared" si="2"/>
        <v>Klāv</v>
      </c>
      <c r="E15" s="19" t="str">
        <f t="shared" si="3"/>
        <v>Klāv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7.2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7.2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7.2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7.2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7.2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7.2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7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7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7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7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7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7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7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7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7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7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7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7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7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7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7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7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7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7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7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7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7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7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7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7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7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7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7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7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7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7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7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7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7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7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7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7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7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7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7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7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7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7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7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7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7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7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7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7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7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7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7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7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7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7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7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7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7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7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7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7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7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7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7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7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7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7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7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7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7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7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7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7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7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7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7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7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7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7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</sheetData>
  <mergeCells count="2">
    <mergeCell ref="A1:H1"/>
    <mergeCell ref="K1:V1"/>
  </mergeCells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0"/>
  <sheetViews>
    <sheetView workbookViewId="0"/>
  </sheetViews>
  <sheetFormatPr defaultColWidth="14.390625" defaultRowHeight="15" customHeight="1" x14ac:dyDescent="0.2"/>
  <cols>
    <col min="1" max="1" width="20.984375" customWidth="1"/>
    <col min="2" max="2" width="45.33203125" customWidth="1"/>
    <col min="3" max="22" width="8.875" customWidth="1"/>
  </cols>
  <sheetData>
    <row r="1" spans="1:22" ht="36" customHeight="1" x14ac:dyDescent="0.2">
      <c r="A1" s="30" t="s">
        <v>37</v>
      </c>
      <c r="B1" s="31"/>
      <c r="C1" s="31"/>
      <c r="D1" s="31"/>
      <c r="E1" s="31"/>
      <c r="F1" s="31"/>
      <c r="G1" s="31"/>
      <c r="H1" s="31"/>
      <c r="I1" s="1"/>
      <c r="J1" s="1"/>
      <c r="K1" s="32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17.25" customHeight="1" x14ac:dyDescent="0.2">
      <c r="A2" s="13"/>
      <c r="B2" s="1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3.75" customHeight="1" x14ac:dyDescent="0.2">
      <c r="A3" s="23" t="s">
        <v>38</v>
      </c>
      <c r="B3" s="23" t="s">
        <v>39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7.25" customHeight="1" x14ac:dyDescent="0.2">
      <c r="A4" s="24">
        <v>25</v>
      </c>
      <c r="B4" s="25" t="str">
        <f t="shared" ref="B4:B13" si="0">IF(MOD(A4,10)=1,"cents","centi")</f>
        <v>centi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7.25" customHeight="1" x14ac:dyDescent="0.2">
      <c r="A5" s="4">
        <v>1</v>
      </c>
      <c r="B5" s="25" t="str">
        <f t="shared" si="0"/>
        <v>cents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7.25" customHeight="1" x14ac:dyDescent="0.2">
      <c r="A6" s="4">
        <v>2</v>
      </c>
      <c r="B6" s="25" t="str">
        <f t="shared" si="0"/>
        <v>centi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7.25" customHeight="1" x14ac:dyDescent="0.2">
      <c r="A7" s="4">
        <v>9</v>
      </c>
      <c r="B7" s="25" t="str">
        <f t="shared" si="0"/>
        <v>centi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7.25" customHeight="1" x14ac:dyDescent="0.2">
      <c r="A8" s="4">
        <v>10</v>
      </c>
      <c r="B8" s="25" t="str">
        <f t="shared" si="0"/>
        <v>centi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7.25" customHeight="1" x14ac:dyDescent="0.2">
      <c r="A9" s="4">
        <v>11</v>
      </c>
      <c r="B9" s="25" t="str">
        <f t="shared" si="0"/>
        <v>cents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7.25" customHeight="1" x14ac:dyDescent="0.2">
      <c r="A10" s="4">
        <v>12</v>
      </c>
      <c r="B10" s="25" t="str">
        <f t="shared" si="0"/>
        <v>centi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7.25" customHeight="1" x14ac:dyDescent="0.2">
      <c r="A11" s="4">
        <v>21</v>
      </c>
      <c r="B11" s="25" t="str">
        <f t="shared" si="0"/>
        <v>cents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7.25" customHeight="1" x14ac:dyDescent="0.2">
      <c r="A12" s="4">
        <v>99</v>
      </c>
      <c r="B12" s="25" t="str">
        <f t="shared" si="0"/>
        <v>centi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7.25" customHeight="1" x14ac:dyDescent="0.2">
      <c r="A13" s="4">
        <v>91</v>
      </c>
      <c r="B13" s="25" t="str">
        <f t="shared" si="0"/>
        <v>cents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7.25" customHeight="1" x14ac:dyDescent="0.2">
      <c r="A14" s="13"/>
      <c r="B14" s="1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7.25" customHeight="1" x14ac:dyDescent="0.2">
      <c r="A15" s="37"/>
      <c r="B15" s="3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7.25" customHeight="1" x14ac:dyDescent="0.2">
      <c r="A16" s="13"/>
      <c r="B16" s="1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7.25" customHeight="1" x14ac:dyDescent="0.2">
      <c r="A17" s="13"/>
      <c r="B17" s="1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7.25" customHeight="1" x14ac:dyDescent="0.2">
      <c r="A18" s="13"/>
      <c r="B18" s="1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7.25" customHeight="1" x14ac:dyDescent="0.2">
      <c r="A19" s="13"/>
      <c r="B19" s="1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7.25" customHeight="1" x14ac:dyDescent="0.2">
      <c r="A20" s="13"/>
      <c r="B20" s="1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7.25" customHeight="1" x14ac:dyDescent="0.2">
      <c r="A21" s="13"/>
      <c r="B21" s="1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7.25" customHeight="1" x14ac:dyDescent="0.2">
      <c r="A22" s="13"/>
      <c r="B22" s="1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7.25" customHeight="1" x14ac:dyDescent="0.2">
      <c r="A23" s="13"/>
      <c r="B23" s="1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7.25" customHeight="1" x14ac:dyDescent="0.2">
      <c r="A24" s="13"/>
      <c r="B24" s="1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7.25" customHeight="1" x14ac:dyDescent="0.2">
      <c r="A25" s="13"/>
      <c r="B25" s="1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7.25" customHeight="1" x14ac:dyDescent="0.2">
      <c r="A26" s="13"/>
      <c r="B26" s="1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7.25" customHeight="1" x14ac:dyDescent="0.2">
      <c r="A27" s="13"/>
      <c r="B27" s="1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7.25" customHeight="1" x14ac:dyDescent="0.2">
      <c r="A28" s="13"/>
      <c r="B28" s="1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7.25" customHeight="1" x14ac:dyDescent="0.2">
      <c r="A29" s="13"/>
      <c r="B29" s="1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7.25" customHeight="1" x14ac:dyDescent="0.2">
      <c r="A30" s="13"/>
      <c r="B30" s="1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7.25" customHeight="1" x14ac:dyDescent="0.2">
      <c r="A31" s="13"/>
      <c r="B31" s="1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7.25" customHeight="1" x14ac:dyDescent="0.2">
      <c r="A32" s="13"/>
      <c r="B32" s="1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7.25" customHeight="1" x14ac:dyDescent="0.2">
      <c r="A33" s="13"/>
      <c r="B33" s="1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7.25" customHeight="1" x14ac:dyDescent="0.2">
      <c r="A34" s="13"/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7.25" customHeight="1" x14ac:dyDescent="0.2">
      <c r="A35" s="13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7.25" customHeight="1" x14ac:dyDescent="0.2">
      <c r="A36" s="13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7.25" customHeight="1" x14ac:dyDescent="0.2">
      <c r="A37" s="13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7.25" customHeight="1" x14ac:dyDescent="0.2">
      <c r="A38" s="13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7.25" customHeight="1" x14ac:dyDescent="0.2">
      <c r="A39" s="13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7.25" customHeight="1" x14ac:dyDescent="0.2">
      <c r="A40" s="13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7.25" customHeight="1" x14ac:dyDescent="0.2">
      <c r="A41" s="13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7.25" customHeight="1" x14ac:dyDescent="0.2">
      <c r="A42" s="13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7.25" customHeight="1" x14ac:dyDescent="0.2">
      <c r="A43" s="13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7.25" customHeight="1" x14ac:dyDescent="0.2">
      <c r="A44" s="13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7.25" customHeight="1" x14ac:dyDescent="0.2">
      <c r="A45" s="13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7.25" customHeight="1" x14ac:dyDescent="0.2">
      <c r="A46" s="13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7.25" customHeight="1" x14ac:dyDescent="0.2">
      <c r="A47" s="13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7.25" customHeight="1" x14ac:dyDescent="0.2">
      <c r="A48" s="13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7.25" customHeight="1" x14ac:dyDescent="0.2">
      <c r="A49" s="13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7.25" customHeight="1" x14ac:dyDescent="0.2">
      <c r="A50" s="13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7.25" customHeight="1" x14ac:dyDescent="0.2">
      <c r="A51" s="13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7.25" customHeight="1" x14ac:dyDescent="0.2">
      <c r="A52" s="13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7.25" customHeight="1" x14ac:dyDescent="0.2">
      <c r="A53" s="13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7.25" customHeight="1" x14ac:dyDescent="0.2">
      <c r="A54" s="13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7.25" customHeight="1" x14ac:dyDescent="0.2">
      <c r="A55" s="13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7.25" customHeight="1" x14ac:dyDescent="0.2">
      <c r="A56" s="13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7.25" customHeight="1" x14ac:dyDescent="0.2">
      <c r="A57" s="13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7.25" customHeight="1" x14ac:dyDescent="0.2">
      <c r="A58" s="13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7.25" customHeight="1" x14ac:dyDescent="0.2">
      <c r="A59" s="13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7.25" customHeight="1" x14ac:dyDescent="0.2">
      <c r="A60" s="13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7.25" customHeight="1" x14ac:dyDescent="0.2">
      <c r="A61" s="13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7.25" customHeight="1" x14ac:dyDescent="0.2">
      <c r="A62" s="13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7.25" customHeight="1" x14ac:dyDescent="0.2">
      <c r="A63" s="13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7.25" customHeight="1" x14ac:dyDescent="0.2">
      <c r="A64" s="13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7.25" customHeight="1" x14ac:dyDescent="0.2">
      <c r="A65" s="13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7.25" customHeight="1" x14ac:dyDescent="0.2">
      <c r="A66" s="13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7.25" customHeight="1" x14ac:dyDescent="0.2">
      <c r="A67" s="13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7.25" customHeight="1" x14ac:dyDescent="0.2">
      <c r="A68" s="13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7.25" customHeight="1" x14ac:dyDescent="0.2">
      <c r="A69" s="13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7.25" customHeight="1" x14ac:dyDescent="0.2">
      <c r="A70" s="13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7.25" customHeight="1" x14ac:dyDescent="0.2">
      <c r="A71" s="13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7.25" customHeight="1" x14ac:dyDescent="0.2">
      <c r="A72" s="13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7.25" customHeight="1" x14ac:dyDescent="0.2">
      <c r="A73" s="13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7.25" customHeight="1" x14ac:dyDescent="0.2">
      <c r="A74" s="13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7.25" customHeight="1" x14ac:dyDescent="0.2">
      <c r="A75" s="13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7.25" customHeight="1" x14ac:dyDescent="0.2">
      <c r="A76" s="13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7.25" customHeight="1" x14ac:dyDescent="0.2">
      <c r="A77" s="13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7.25" customHeight="1" x14ac:dyDescent="0.2">
      <c r="A78" s="13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7.25" customHeight="1" x14ac:dyDescent="0.2">
      <c r="A79" s="13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7.25" customHeight="1" x14ac:dyDescent="0.2">
      <c r="A80" s="13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7.25" customHeight="1" x14ac:dyDescent="0.2">
      <c r="A81" s="13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7.25" customHeight="1" x14ac:dyDescent="0.2">
      <c r="A82" s="13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7.25" customHeight="1" x14ac:dyDescent="0.2">
      <c r="A83" s="13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7.25" customHeight="1" x14ac:dyDescent="0.2">
      <c r="A84" s="13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7.25" customHeight="1" x14ac:dyDescent="0.2">
      <c r="A85" s="13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7.25" customHeight="1" x14ac:dyDescent="0.2">
      <c r="A86" s="13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7.25" customHeight="1" x14ac:dyDescent="0.2">
      <c r="A87" s="13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7.25" customHeight="1" x14ac:dyDescent="0.2">
      <c r="A88" s="13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7.25" customHeight="1" x14ac:dyDescent="0.2">
      <c r="A89" s="13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7.25" customHeight="1" x14ac:dyDescent="0.2">
      <c r="A90" s="13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7.25" customHeight="1" x14ac:dyDescent="0.2">
      <c r="A91" s="13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7.25" customHeight="1" x14ac:dyDescent="0.2">
      <c r="A92" s="13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7.25" customHeight="1" x14ac:dyDescent="0.2">
      <c r="A93" s="13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7.25" customHeight="1" x14ac:dyDescent="0.2">
      <c r="A94" s="13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7.25" customHeight="1" x14ac:dyDescent="0.2">
      <c r="A95" s="13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7.25" customHeight="1" x14ac:dyDescent="0.2">
      <c r="A96" s="13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7.25" customHeight="1" x14ac:dyDescent="0.2">
      <c r="A97" s="13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7.25" customHeight="1" x14ac:dyDescent="0.2">
      <c r="A98" s="13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7.25" customHeight="1" x14ac:dyDescent="0.2">
      <c r="A99" s="13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7.25" customHeight="1" x14ac:dyDescent="0.2">
      <c r="A100" s="13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</sheetData>
  <mergeCells count="3">
    <mergeCell ref="A1:H1"/>
    <mergeCell ref="K1:V1"/>
    <mergeCell ref="A15:B15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"/>
  <sheetViews>
    <sheetView workbookViewId="0"/>
  </sheetViews>
  <sheetFormatPr defaultColWidth="14.390625" defaultRowHeight="15" customHeight="1" x14ac:dyDescent="0.2"/>
  <cols>
    <col min="1" max="1" width="26.90234375" customWidth="1"/>
    <col min="2" max="5" width="8.7421875" customWidth="1"/>
    <col min="6" max="6" width="11.8359375" customWidth="1"/>
    <col min="7" max="17" width="8.7421875" customWidth="1"/>
  </cols>
  <sheetData>
    <row r="1" spans="1:8" ht="18" customHeight="1" x14ac:dyDescent="0.2">
      <c r="A1" s="26" t="s">
        <v>3</v>
      </c>
      <c r="B1" s="26"/>
      <c r="C1" s="26"/>
      <c r="D1" s="26"/>
    </row>
    <row r="2" spans="1:8" ht="18" customHeight="1" x14ac:dyDescent="0.2">
      <c r="A2" s="27" t="s">
        <v>14</v>
      </c>
      <c r="B2" s="26">
        <v>10</v>
      </c>
      <c r="C2" s="26"/>
      <c r="D2" s="26"/>
    </row>
    <row r="3" spans="1:8" ht="18" customHeight="1" x14ac:dyDescent="0.2">
      <c r="A3" s="42" t="s">
        <v>40</v>
      </c>
      <c r="B3" s="33"/>
      <c r="C3" s="33"/>
      <c r="D3" s="33"/>
      <c r="E3" s="33"/>
      <c r="F3" s="33"/>
      <c r="G3" s="33"/>
      <c r="H3" s="33"/>
    </row>
    <row r="4" spans="1:8" ht="18" customHeight="1" x14ac:dyDescent="0.2"/>
    <row r="5" spans="1:8" ht="18" customHeight="1" x14ac:dyDescent="0.2"/>
    <row r="6" spans="1:8" ht="18" customHeight="1" x14ac:dyDescent="0.25">
      <c r="A6" s="28" t="s">
        <v>41</v>
      </c>
      <c r="B6" s="28"/>
      <c r="C6" s="28"/>
      <c r="D6" s="28"/>
      <c r="E6" s="28"/>
      <c r="F6" s="28"/>
      <c r="G6" s="28"/>
      <c r="H6" s="28"/>
    </row>
    <row r="7" spans="1:8" ht="18" customHeight="1" x14ac:dyDescent="0.25">
      <c r="A7" s="26" t="s">
        <v>42</v>
      </c>
      <c r="F7" s="29">
        <f>F16*2</f>
        <v>4000.0000000000009</v>
      </c>
    </row>
    <row r="8" spans="1:8" ht="18" customHeight="1" x14ac:dyDescent="0.2">
      <c r="A8" s="41" t="s">
        <v>43</v>
      </c>
      <c r="B8" s="33"/>
      <c r="C8" s="33"/>
      <c r="F8" s="29">
        <f>(F14-F13)*4+B2*F12*4</f>
        <v>1648.5281374238571</v>
      </c>
    </row>
    <row r="9" spans="1:8" ht="18" customHeight="1" x14ac:dyDescent="0.2"/>
    <row r="10" spans="1:8" ht="18" customHeight="1" x14ac:dyDescent="0.2">
      <c r="A10" s="41" t="s">
        <v>44</v>
      </c>
      <c r="B10" s="33"/>
      <c r="C10" s="33"/>
    </row>
    <row r="11" spans="1:8" ht="18" customHeight="1" x14ac:dyDescent="0.2">
      <c r="A11" s="41" t="s">
        <v>45</v>
      </c>
      <c r="B11" s="33"/>
      <c r="C11" s="33"/>
      <c r="F11" s="12">
        <f>SQRT(B2^2/2)</f>
        <v>7.0710678118654755</v>
      </c>
    </row>
    <row r="12" spans="1:8" ht="18" customHeight="1" x14ac:dyDescent="0.2">
      <c r="A12" s="41" t="s">
        <v>46</v>
      </c>
      <c r="B12" s="33"/>
      <c r="C12" s="33"/>
      <c r="F12" s="12">
        <f>SQRT((B2*3)^2/2)</f>
        <v>21.213203435596427</v>
      </c>
    </row>
    <row r="13" spans="1:8" ht="18" customHeight="1" x14ac:dyDescent="0.2">
      <c r="A13" s="41" t="s">
        <v>47</v>
      </c>
      <c r="B13" s="33"/>
      <c r="C13" s="33"/>
      <c r="F13" s="12">
        <f t="shared" ref="F13:F14" si="0">F11^2/2</f>
        <v>25.000000000000004</v>
      </c>
    </row>
    <row r="14" spans="1:8" ht="18" customHeight="1" x14ac:dyDescent="0.2">
      <c r="A14" s="41" t="s">
        <v>48</v>
      </c>
      <c r="B14" s="33"/>
      <c r="C14" s="33"/>
      <c r="F14" s="12">
        <f t="shared" si="0"/>
        <v>225.00000000000003</v>
      </c>
    </row>
    <row r="15" spans="1:8" ht="18" customHeight="1" x14ac:dyDescent="0.2">
      <c r="A15" s="41" t="s">
        <v>49</v>
      </c>
      <c r="B15" s="33"/>
      <c r="C15" s="33"/>
      <c r="D15" s="33"/>
      <c r="E15" s="43"/>
      <c r="F15" s="29">
        <f>F13*B2</f>
        <v>250.00000000000003</v>
      </c>
    </row>
    <row r="16" spans="1:8" ht="18" customHeight="1" x14ac:dyDescent="0.2">
      <c r="A16" s="41" t="s">
        <v>50</v>
      </c>
      <c r="B16" s="33"/>
      <c r="C16" s="33"/>
      <c r="F16" s="29">
        <f>F14*B2-F15</f>
        <v>2000.0000000000005</v>
      </c>
    </row>
    <row r="17" spans="1:3" ht="14.25" customHeight="1" x14ac:dyDescent="0.2"/>
    <row r="18" spans="1:3" ht="14.25" customHeight="1" x14ac:dyDescent="0.2"/>
    <row r="19" spans="1:3" ht="14.25" customHeight="1" x14ac:dyDescent="0.2">
      <c r="A19" s="41"/>
      <c r="B19" s="33"/>
      <c r="C19" s="33"/>
    </row>
    <row r="20" spans="1:3" ht="14.25" customHeight="1" x14ac:dyDescent="0.2"/>
    <row r="21" spans="1:3" ht="14.25" customHeight="1" x14ac:dyDescent="0.2"/>
    <row r="22" spans="1:3" ht="14.25" customHeight="1" x14ac:dyDescent="0.2"/>
    <row r="23" spans="1:3" ht="14.25" customHeight="1" x14ac:dyDescent="0.2"/>
    <row r="24" spans="1:3" ht="14.25" customHeight="1" x14ac:dyDescent="0.2"/>
    <row r="25" spans="1:3" ht="14.25" customHeight="1" x14ac:dyDescent="0.2"/>
    <row r="26" spans="1:3" ht="14.25" customHeight="1" x14ac:dyDescent="0.2"/>
    <row r="27" spans="1:3" ht="14.25" customHeight="1" x14ac:dyDescent="0.2"/>
    <row r="28" spans="1:3" ht="14.25" customHeight="1" x14ac:dyDescent="0.2"/>
    <row r="29" spans="1:3" ht="14.25" customHeight="1" x14ac:dyDescent="0.2"/>
    <row r="30" spans="1:3" ht="14.25" customHeight="1" x14ac:dyDescent="0.2"/>
    <row r="31" spans="1:3" ht="14.25" customHeight="1" x14ac:dyDescent="0.2"/>
    <row r="32" spans="1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</sheetData>
  <mergeCells count="10">
    <mergeCell ref="A16:C16"/>
    <mergeCell ref="A19:C19"/>
    <mergeCell ref="A3:H3"/>
    <mergeCell ref="A8:C8"/>
    <mergeCell ref="A10:C10"/>
    <mergeCell ref="A11:C11"/>
    <mergeCell ref="A12:C12"/>
    <mergeCell ref="A13:C13"/>
    <mergeCell ref="A14:C14"/>
    <mergeCell ref="A15:E1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Darblapas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aija_</dc:creator>
  <cp:keywords/>
  <dc:description/>
  <cp:lastModifiedBy>Ritvars Kuciņš</cp:lastModifiedBy>
  <cp:revision/>
  <dcterms:created xsi:type="dcterms:W3CDTF">2021-10-27T13:59:32Z</dcterms:created>
  <dcterms:modified xsi:type="dcterms:W3CDTF">2025-12-03T21:07:00Z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